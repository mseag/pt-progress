
<file path=[Content_Types].xml><?xml version="1.0" encoding="utf-8"?>
<Types xmlns="http://schemas.openxmlformats.org/package/2006/content-types">
  <Default Extension="bin" ContentType="application/vnd.ms-office.vbaProject"/>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ml.chartshapes+xml"/>
  <Override PartName="/xl/drawings/drawing3.xml" ContentType="application/vnd.openxmlformats-officedocument.drawing+xml"/>
  <Override PartName="/xl/comments2.xml" ContentType="application/vnd.openxmlformats-officedocument.spreadsheetml.comments+xml"/>
  <Override PartName="/xl/charts/chart2.xml" ContentType="application/vnd.openxmlformats-officedocument.drawingml.chart+xml"/>
  <Override PartName="/xl/drawings/drawing4.xml" ContentType="application/vnd.openxmlformats-officedocument.drawingml.chartshapes+xml"/>
  <Override PartName="/xl/comments3.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3990" yWindow="2970" windowWidth="17280" windowHeight="8970" activeTab="1"/>
  </bookViews>
  <sheets>
    <sheet name="Planning" sheetId="1" r:id="rId1"/>
    <sheet name="Progress" sheetId="6" r:id="rId2"/>
    <sheet name="Examples" sheetId="3" r:id="rId3"/>
    <sheet name="Verses per Chapter" sheetId="4" r:id="rId4"/>
  </sheets>
  <functionGroups builtInGroupCount="17"/>
  <externalReferences>
    <externalReference r:id="rId5"/>
  </externalReferences>
  <definedNames>
    <definedName name="Annual_Inputs">[1]Calculations!$AH$31:$AJ$52</definedName>
    <definedName name="BookList">[1]Calculations!$Y$91:$AC$91</definedName>
    <definedName name="GraphFirstYear">#REF!</definedName>
    <definedName name="GraphScrollValue">Planning!$AI$24</definedName>
    <definedName name="List_Year_Plan">OFFSET([1]Calculations!L16,0,0,([1]Calculations!L15-[1]Calculations!L17)+2,1)</definedName>
    <definedName name="List_Year_Progress">OFFSET([1]Calculations!G15,0,0,([1]Calculations!G13-[1]Calculations!G15)+1,1)</definedName>
    <definedName name="PlannedOtherDays">Planning!$V$93:$V$112</definedName>
    <definedName name="PlannedOtherYear">Planning!$W$93:$W$112</definedName>
    <definedName name="PlanPercent">[1]Calculations!$N$23:$N$418</definedName>
    <definedName name="PlanYear">[1]Calculations!$K$23:$K$418</definedName>
    <definedName name="PrgPrcnDn1Drft">[1]Calculations!$O$23:$O$88</definedName>
    <definedName name="PrgPrcnDn2TmCk">[1]Calculations!$O$89:$O$154</definedName>
    <definedName name="PrgPrcnDn3ComTst">[1]Calculations!$O$155:$O$220</definedName>
    <definedName name="PrgPrcnDn4BkTrns">[1]Calculations!$O$221:$O$286</definedName>
    <definedName name="PrgPrcnDn5ConsCk">[1]Calculations!$O$287:$O$352</definedName>
    <definedName name="PrgPrcnDn6Pblshd">[1]Calculations!$O$353:$O$418</definedName>
    <definedName name="ProgPrcntDone">[1]Calculations!$O$23:$O$418</definedName>
    <definedName name="ProgQuarter">[1]Calculations!$L$23:$L$418</definedName>
    <definedName name="ProgYearDone">[1]Calculations!$M$23:$M$418</definedName>
    <definedName name="Quarters4">[1]Calculations!$AG$30:$AG$33</definedName>
    <definedName name="Quarters5">[1]Calculations!$AG$30:$AG$36</definedName>
    <definedName name="RptQtr">#REF!</definedName>
    <definedName name="RptYr">#REF!</definedName>
    <definedName name="VE">[1]Calculations!$W$89</definedName>
    <definedName name="Year1">[1]Planning!$F$19</definedName>
    <definedName name="Year10">[1]Planning!$F$28</definedName>
    <definedName name="Year11">[1]Planning!$F$29</definedName>
    <definedName name="Year12">[1]Planning!$F$30</definedName>
    <definedName name="Year13">[1]Planning!$F$31</definedName>
    <definedName name="Year14">[1]Planning!$F$32</definedName>
    <definedName name="Year15">[1]Planning!$F$33</definedName>
    <definedName name="Year16">[1]Planning!$F$34</definedName>
    <definedName name="Year17">[1]Planning!$F$35</definedName>
    <definedName name="Year18">[1]Planning!$F$36</definedName>
    <definedName name="Year19">[1]Planning!$F$37</definedName>
    <definedName name="Year2">[1]Planning!$F$20</definedName>
    <definedName name="Year20">[1]Planning!$F$38</definedName>
    <definedName name="Year3">[1]Planning!$F$21</definedName>
    <definedName name="Year4">[1]Planning!$F$22</definedName>
    <definedName name="Year5">[1]Planning!$F$23</definedName>
    <definedName name="Year6">[1]Planning!$F$24</definedName>
    <definedName name="Year7">[1]Planning!$F$25</definedName>
    <definedName name="Year8">[1]Planning!$F$26</definedName>
    <definedName name="Year9">[1]Planning!$F$27</definedName>
    <definedName name="YearAndPrcntPlanned">[1]Planning!$F$19:$AG$38</definedName>
  </definedNames>
  <calcPr calcId="14562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P17" i="6" l="1"/>
  <c r="P39" i="6" l="1"/>
  <c r="P40" i="6"/>
  <c r="P41" i="6"/>
  <c r="P42" i="6"/>
  <c r="P43" i="6"/>
  <c r="P44" i="6"/>
  <c r="P45" i="6"/>
  <c r="P46" i="6"/>
  <c r="P47" i="6"/>
  <c r="P48" i="6"/>
  <c r="P49" i="6"/>
  <c r="P50" i="6"/>
  <c r="P51" i="6"/>
  <c r="P52" i="6"/>
  <c r="P53" i="6"/>
  <c r="P54" i="6"/>
  <c r="P55" i="6"/>
  <c r="P56" i="6"/>
  <c r="P57" i="6"/>
  <c r="P58" i="6"/>
  <c r="P59" i="6"/>
  <c r="P60" i="6"/>
  <c r="P61" i="6"/>
  <c r="P62" i="6"/>
  <c r="P63" i="6"/>
  <c r="P64" i="6"/>
  <c r="P25" i="6"/>
  <c r="P26" i="6"/>
  <c r="P27" i="6"/>
  <c r="P28" i="6"/>
  <c r="P29" i="6"/>
  <c r="P30" i="6"/>
  <c r="P31" i="6"/>
  <c r="P32" i="6"/>
  <c r="P33" i="6"/>
  <c r="P34" i="6"/>
  <c r="P35" i="6"/>
  <c r="P36" i="6"/>
  <c r="P37" i="6"/>
  <c r="P38" i="6"/>
  <c r="P24" i="6"/>
  <c r="P23" i="6"/>
  <c r="BG109" i="6" l="1"/>
  <c r="BF109" i="6"/>
  <c r="P109" i="6"/>
  <c r="BG108" i="6"/>
  <c r="BF108" i="6"/>
  <c r="P108" i="6"/>
  <c r="BG107" i="6"/>
  <c r="BF107" i="6"/>
  <c r="P107" i="6"/>
  <c r="BK106" i="6"/>
  <c r="BG106" i="6"/>
  <c r="BF106" i="6"/>
  <c r="P106" i="6"/>
  <c r="BK105" i="6"/>
  <c r="BG105" i="6"/>
  <c r="BF105" i="6"/>
  <c r="P105" i="6"/>
  <c r="BK104" i="6"/>
  <c r="BI104" i="6"/>
  <c r="BH106" i="6" s="1"/>
  <c r="BG104" i="6"/>
  <c r="BF104" i="6"/>
  <c r="P104" i="6"/>
  <c r="BK103" i="6"/>
  <c r="BG103" i="6"/>
  <c r="BF103" i="6"/>
  <c r="P103" i="6"/>
  <c r="BK102" i="6"/>
  <c r="BG102" i="6"/>
  <c r="BF102" i="6"/>
  <c r="P102" i="6"/>
  <c r="BK101" i="6"/>
  <c r="BG101" i="6"/>
  <c r="BF101" i="6"/>
  <c r="P101" i="6"/>
  <c r="BK100" i="6"/>
  <c r="BI100" i="6"/>
  <c r="BH102" i="6" s="1"/>
  <c r="BG100" i="6"/>
  <c r="BF100" i="6"/>
  <c r="P100" i="6"/>
  <c r="BK99" i="6"/>
  <c r="BG99" i="6"/>
  <c r="BF99" i="6"/>
  <c r="P99" i="6"/>
  <c r="BK98" i="6"/>
  <c r="BG98" i="6"/>
  <c r="BF98" i="6"/>
  <c r="P98" i="6"/>
  <c r="BK97" i="6"/>
  <c r="BG97" i="6"/>
  <c r="BF97" i="6"/>
  <c r="P97" i="6"/>
  <c r="BK96" i="6"/>
  <c r="BI96" i="6"/>
  <c r="BH98" i="6" s="1"/>
  <c r="BH96" i="6"/>
  <c r="BG96" i="6"/>
  <c r="BF96" i="6"/>
  <c r="P96" i="6"/>
  <c r="BK95" i="6"/>
  <c r="BH95" i="6"/>
  <c r="BG95" i="6"/>
  <c r="BF95" i="6"/>
  <c r="P95" i="6"/>
  <c r="BK94" i="6"/>
  <c r="BG94" i="6"/>
  <c r="BF94" i="6"/>
  <c r="P94" i="6"/>
  <c r="BK93" i="6"/>
  <c r="BG93" i="6"/>
  <c r="BF93" i="6"/>
  <c r="P93" i="6"/>
  <c r="BK92" i="6"/>
  <c r="BI92" i="6"/>
  <c r="BH94" i="6" s="1"/>
  <c r="BG92" i="6"/>
  <c r="BF92" i="6"/>
  <c r="P92" i="6"/>
  <c r="BK91" i="6"/>
  <c r="BG91" i="6"/>
  <c r="BF91" i="6"/>
  <c r="P91" i="6"/>
  <c r="BK90" i="6"/>
  <c r="BG90" i="6"/>
  <c r="BF90" i="6"/>
  <c r="P90" i="6"/>
  <c r="BK89" i="6"/>
  <c r="BK88" i="6"/>
  <c r="BI88" i="6"/>
  <c r="BH90" i="6" s="1"/>
  <c r="BH88" i="6"/>
  <c r="BG88" i="6"/>
  <c r="BF88" i="6"/>
  <c r="BE88" i="6"/>
  <c r="BD88" i="6"/>
  <c r="BC88" i="6"/>
  <c r="BB88" i="6"/>
  <c r="BA88" i="6"/>
  <c r="AZ88" i="6"/>
  <c r="AY88" i="6"/>
  <c r="AX88" i="6"/>
  <c r="AW88" i="6"/>
  <c r="AV88" i="6"/>
  <c r="Q88" i="6"/>
  <c r="P88" i="6"/>
  <c r="BK87" i="6"/>
  <c r="BH87" i="6"/>
  <c r="BG87" i="6"/>
  <c r="BF87" i="6"/>
  <c r="BE87" i="6"/>
  <c r="BD87" i="6"/>
  <c r="BC87" i="6"/>
  <c r="BB87" i="6"/>
  <c r="BA87" i="6"/>
  <c r="AZ87" i="6"/>
  <c r="AY87" i="6"/>
  <c r="AX87" i="6"/>
  <c r="AW87" i="6"/>
  <c r="AV87" i="6"/>
  <c r="Q87" i="6"/>
  <c r="P87" i="6"/>
  <c r="BK86" i="6"/>
  <c r="BG86" i="6"/>
  <c r="BF86" i="6"/>
  <c r="BE86" i="6"/>
  <c r="BD86" i="6"/>
  <c r="BC86" i="6"/>
  <c r="BB86" i="6"/>
  <c r="BA86" i="6"/>
  <c r="AZ86" i="6"/>
  <c r="AY86" i="6"/>
  <c r="AX86" i="6"/>
  <c r="AW86" i="6"/>
  <c r="AV86" i="6"/>
  <c r="Q86" i="6"/>
  <c r="P86" i="6"/>
  <c r="BK85" i="6"/>
  <c r="BG85" i="6"/>
  <c r="BF85" i="6"/>
  <c r="BE85" i="6"/>
  <c r="BD85" i="6"/>
  <c r="BC85" i="6"/>
  <c r="BB85" i="6"/>
  <c r="BA85" i="6"/>
  <c r="AZ85" i="6"/>
  <c r="AY85" i="6"/>
  <c r="AX85" i="6"/>
  <c r="AW85" i="6"/>
  <c r="AV85" i="6"/>
  <c r="Q85" i="6"/>
  <c r="P85" i="6"/>
  <c r="BK84" i="6"/>
  <c r="BI84" i="6"/>
  <c r="BH86" i="6" s="1"/>
  <c r="BH84" i="6"/>
  <c r="BG84" i="6"/>
  <c r="BF84" i="6"/>
  <c r="BE84" i="6"/>
  <c r="BD84" i="6"/>
  <c r="BC84" i="6"/>
  <c r="BB84" i="6"/>
  <c r="BA84" i="6"/>
  <c r="AZ84" i="6"/>
  <c r="AY84" i="6"/>
  <c r="AX84" i="6"/>
  <c r="AW84" i="6"/>
  <c r="AV84" i="6"/>
  <c r="Q84" i="6"/>
  <c r="P84" i="6"/>
  <c r="BK83" i="6"/>
  <c r="BH83" i="6"/>
  <c r="BG83" i="6"/>
  <c r="BF83" i="6"/>
  <c r="BE83" i="6"/>
  <c r="BD83" i="6"/>
  <c r="BC83" i="6"/>
  <c r="BB83" i="6"/>
  <c r="BA83" i="6"/>
  <c r="AZ83" i="6"/>
  <c r="AY83" i="6"/>
  <c r="AX83" i="6"/>
  <c r="AW83" i="6"/>
  <c r="AV83" i="6"/>
  <c r="Q83" i="6"/>
  <c r="P83" i="6"/>
  <c r="BK82" i="6"/>
  <c r="BG82" i="6"/>
  <c r="BF82" i="6"/>
  <c r="BE82" i="6"/>
  <c r="BD82" i="6"/>
  <c r="BC82" i="6"/>
  <c r="BB82" i="6"/>
  <c r="BA82" i="6"/>
  <c r="AZ82" i="6"/>
  <c r="AY82" i="6"/>
  <c r="AX82" i="6"/>
  <c r="AW82" i="6"/>
  <c r="AV82" i="6"/>
  <c r="Q82" i="6"/>
  <c r="P82" i="6"/>
  <c r="BK81" i="6"/>
  <c r="BG81" i="6"/>
  <c r="BF81" i="6"/>
  <c r="BE81" i="6"/>
  <c r="BD81" i="6"/>
  <c r="BC81" i="6"/>
  <c r="BB81" i="6"/>
  <c r="BA81" i="6"/>
  <c r="AZ81" i="6"/>
  <c r="AY81" i="6"/>
  <c r="AX81" i="6"/>
  <c r="AW81" i="6"/>
  <c r="AV81" i="6"/>
  <c r="Q81" i="6"/>
  <c r="P81" i="6"/>
  <c r="BK80" i="6"/>
  <c r="BI80" i="6"/>
  <c r="BH81" i="6" s="1"/>
  <c r="BG80" i="6"/>
  <c r="BF80" i="6"/>
  <c r="BE80" i="6"/>
  <c r="BD80" i="6"/>
  <c r="BC80" i="6"/>
  <c r="BB80" i="6"/>
  <c r="BA80" i="6"/>
  <c r="AZ80" i="6"/>
  <c r="AY80" i="6"/>
  <c r="AX80" i="6"/>
  <c r="AW80" i="6"/>
  <c r="AV80" i="6"/>
  <c r="Q80" i="6"/>
  <c r="P80" i="6"/>
  <c r="BK79" i="6"/>
  <c r="BH79" i="6"/>
  <c r="BG79" i="6"/>
  <c r="BF79" i="6"/>
  <c r="BE79" i="6"/>
  <c r="BD79" i="6"/>
  <c r="BC79" i="6"/>
  <c r="BB79" i="6"/>
  <c r="BA79" i="6"/>
  <c r="AZ79" i="6"/>
  <c r="AY79" i="6"/>
  <c r="AX79" i="6"/>
  <c r="AW79" i="6"/>
  <c r="AV79" i="6"/>
  <c r="Q79" i="6"/>
  <c r="P79" i="6"/>
  <c r="BK78" i="6"/>
  <c r="BG78" i="6"/>
  <c r="BF78" i="6"/>
  <c r="BE78" i="6"/>
  <c r="BD78" i="6"/>
  <c r="BC78" i="6"/>
  <c r="BB78" i="6"/>
  <c r="BA78" i="6"/>
  <c r="AZ78" i="6"/>
  <c r="AY78" i="6"/>
  <c r="AX78" i="6"/>
  <c r="AW78" i="6"/>
  <c r="AV78" i="6"/>
  <c r="Q78" i="6"/>
  <c r="P78" i="6"/>
  <c r="BK77" i="6"/>
  <c r="BG77" i="6"/>
  <c r="BF77" i="6"/>
  <c r="BE77" i="6"/>
  <c r="BD77" i="6"/>
  <c r="BC77" i="6"/>
  <c r="BB77" i="6"/>
  <c r="BA77" i="6"/>
  <c r="AZ77" i="6"/>
  <c r="AY77" i="6"/>
  <c r="AX77" i="6"/>
  <c r="AW77" i="6"/>
  <c r="AV77" i="6"/>
  <c r="Q77" i="6"/>
  <c r="P77" i="6"/>
  <c r="BK76" i="6"/>
  <c r="BI76" i="6"/>
  <c r="BH78" i="6" s="1"/>
  <c r="BH76" i="6"/>
  <c r="BG76" i="6"/>
  <c r="BF76" i="6"/>
  <c r="BE76" i="6"/>
  <c r="BD76" i="6"/>
  <c r="BC76" i="6"/>
  <c r="BB76" i="6"/>
  <c r="BA76" i="6"/>
  <c r="AZ76" i="6"/>
  <c r="AY76" i="6"/>
  <c r="AX76" i="6"/>
  <c r="AW76" i="6"/>
  <c r="AV76" i="6"/>
  <c r="Q76" i="6"/>
  <c r="P76" i="6"/>
  <c r="BK75" i="6"/>
  <c r="BH75" i="6"/>
  <c r="BG75" i="6"/>
  <c r="BF75" i="6"/>
  <c r="BE75" i="6"/>
  <c r="BD75" i="6"/>
  <c r="BC75" i="6"/>
  <c r="BB75" i="6"/>
  <c r="BA75" i="6"/>
  <c r="AZ75" i="6"/>
  <c r="AY75" i="6"/>
  <c r="AX75" i="6"/>
  <c r="AW75" i="6"/>
  <c r="AV75" i="6"/>
  <c r="Q75" i="6"/>
  <c r="P75" i="6"/>
  <c r="BK74" i="6"/>
  <c r="BG74" i="6"/>
  <c r="BF74" i="6"/>
  <c r="BE74" i="6"/>
  <c r="BD74" i="6"/>
  <c r="BC74" i="6"/>
  <c r="BB74" i="6"/>
  <c r="BA74" i="6"/>
  <c r="AZ74" i="6"/>
  <c r="AY74" i="6"/>
  <c r="AX74" i="6"/>
  <c r="AW74" i="6"/>
  <c r="AV74" i="6"/>
  <c r="Q74" i="6"/>
  <c r="P74" i="6"/>
  <c r="BK73" i="6"/>
  <c r="BG73" i="6"/>
  <c r="BF73" i="6"/>
  <c r="BE73" i="6"/>
  <c r="BD73" i="6"/>
  <c r="BC73" i="6"/>
  <c r="BB73" i="6"/>
  <c r="BA73" i="6"/>
  <c r="AZ73" i="6"/>
  <c r="AY73" i="6"/>
  <c r="AX73" i="6"/>
  <c r="AW73" i="6"/>
  <c r="AV73" i="6"/>
  <c r="Q73" i="6"/>
  <c r="P73" i="6"/>
  <c r="BK72" i="6"/>
  <c r="BI72" i="6"/>
  <c r="BH74" i="6" s="1"/>
  <c r="BG72" i="6"/>
  <c r="BF72" i="6"/>
  <c r="BE72" i="6"/>
  <c r="BD72" i="6"/>
  <c r="BC72" i="6"/>
  <c r="BB72" i="6"/>
  <c r="BA72" i="6"/>
  <c r="AZ72" i="6"/>
  <c r="AY72" i="6"/>
  <c r="AX72" i="6"/>
  <c r="AW72" i="6"/>
  <c r="AV72" i="6"/>
  <c r="Q72" i="6"/>
  <c r="P72" i="6"/>
  <c r="BK71" i="6"/>
  <c r="BH71" i="6"/>
  <c r="BG71" i="6"/>
  <c r="BF71" i="6"/>
  <c r="BE71" i="6"/>
  <c r="BD71" i="6"/>
  <c r="BC71" i="6"/>
  <c r="BB71" i="6"/>
  <c r="BA71" i="6"/>
  <c r="AZ71" i="6"/>
  <c r="AY71" i="6"/>
  <c r="AX71" i="6"/>
  <c r="AW71" i="6"/>
  <c r="AV71" i="6"/>
  <c r="Q71" i="6"/>
  <c r="P71" i="6"/>
  <c r="BK70" i="6"/>
  <c r="BG70" i="6"/>
  <c r="BF70" i="6"/>
  <c r="BE70" i="6"/>
  <c r="BD70" i="6"/>
  <c r="BC70" i="6"/>
  <c r="BB70" i="6"/>
  <c r="BA70" i="6"/>
  <c r="AZ70" i="6"/>
  <c r="AY70" i="6"/>
  <c r="AX70" i="6"/>
  <c r="AW70" i="6"/>
  <c r="AV70" i="6"/>
  <c r="Q70" i="6"/>
  <c r="P70" i="6"/>
  <c r="BK69" i="6"/>
  <c r="BG69" i="6"/>
  <c r="BF69" i="6"/>
  <c r="BE69" i="6"/>
  <c r="BD69" i="6"/>
  <c r="BC69" i="6"/>
  <c r="BB69" i="6"/>
  <c r="BA69" i="6"/>
  <c r="AZ69" i="6"/>
  <c r="AY69" i="6"/>
  <c r="AX69" i="6"/>
  <c r="AW69" i="6"/>
  <c r="AV69" i="6"/>
  <c r="Q69" i="6"/>
  <c r="P69" i="6"/>
  <c r="BK68" i="6"/>
  <c r="BI68" i="6"/>
  <c r="BH69" i="6" s="1"/>
  <c r="BG68" i="6"/>
  <c r="BF68" i="6"/>
  <c r="BE68" i="6"/>
  <c r="BD68" i="6"/>
  <c r="BC68" i="6"/>
  <c r="BB68" i="6"/>
  <c r="BA68" i="6"/>
  <c r="AZ68" i="6"/>
  <c r="AY68" i="6"/>
  <c r="AX68" i="6"/>
  <c r="AW68" i="6"/>
  <c r="AV68" i="6"/>
  <c r="Q68" i="6"/>
  <c r="P68" i="6"/>
  <c r="BK67" i="6"/>
  <c r="BH67" i="6"/>
  <c r="BG67" i="6"/>
  <c r="BF67" i="6"/>
  <c r="BE67" i="6"/>
  <c r="BD67" i="6"/>
  <c r="BC67" i="6"/>
  <c r="BB67" i="6"/>
  <c r="BA67" i="6"/>
  <c r="AZ67" i="6"/>
  <c r="AY67" i="6"/>
  <c r="AX67" i="6"/>
  <c r="AW67" i="6"/>
  <c r="AV67" i="6"/>
  <c r="Q67" i="6"/>
  <c r="P67" i="6"/>
  <c r="BK66" i="6"/>
  <c r="BG66" i="6"/>
  <c r="BF66" i="6"/>
  <c r="BE66" i="6"/>
  <c r="BD66" i="6"/>
  <c r="BC66" i="6"/>
  <c r="BB66" i="6"/>
  <c r="BA66" i="6"/>
  <c r="AZ66" i="6"/>
  <c r="AY66" i="6"/>
  <c r="AX66" i="6"/>
  <c r="AW66" i="6"/>
  <c r="AV66" i="6"/>
  <c r="Q66" i="6"/>
  <c r="P66" i="6"/>
  <c r="BK65" i="6"/>
  <c r="BG65" i="6"/>
  <c r="BF65" i="6"/>
  <c r="BE65" i="6"/>
  <c r="BD65" i="6"/>
  <c r="BC65" i="6"/>
  <c r="BB65" i="6"/>
  <c r="BA65" i="6"/>
  <c r="AZ65" i="6"/>
  <c r="AY65" i="6"/>
  <c r="AX65" i="6"/>
  <c r="AW65" i="6"/>
  <c r="AV65" i="6"/>
  <c r="Q65" i="6"/>
  <c r="P65" i="6"/>
  <c r="BK64" i="6"/>
  <c r="BI64" i="6"/>
  <c r="BH66" i="6" s="1"/>
  <c r="BH64" i="6"/>
  <c r="BG64" i="6"/>
  <c r="BF64" i="6"/>
  <c r="BE64" i="6"/>
  <c r="BD64" i="6"/>
  <c r="BC64" i="6"/>
  <c r="BB64" i="6"/>
  <c r="BA64" i="6"/>
  <c r="AZ64" i="6"/>
  <c r="AY64" i="6"/>
  <c r="AX64" i="6"/>
  <c r="AW64" i="6"/>
  <c r="AV64" i="6"/>
  <c r="Q64" i="6"/>
  <c r="BK63" i="6"/>
  <c r="BH63" i="6"/>
  <c r="BG63" i="6"/>
  <c r="BF63" i="6"/>
  <c r="BE63" i="6"/>
  <c r="BD63" i="6"/>
  <c r="BC63" i="6"/>
  <c r="BB63" i="6"/>
  <c r="BA63" i="6"/>
  <c r="AZ63" i="6"/>
  <c r="AY63" i="6"/>
  <c r="AX63" i="6"/>
  <c r="AW63" i="6"/>
  <c r="AV63" i="6"/>
  <c r="Q63" i="6"/>
  <c r="BK62" i="6"/>
  <c r="BG62" i="6"/>
  <c r="BF62" i="6"/>
  <c r="BE62" i="6"/>
  <c r="BD62" i="6"/>
  <c r="BC62" i="6"/>
  <c r="BB62" i="6"/>
  <c r="BA62" i="6"/>
  <c r="AZ62" i="6"/>
  <c r="AY62" i="6"/>
  <c r="AX62" i="6"/>
  <c r="AW62" i="6"/>
  <c r="AV62" i="6"/>
  <c r="Q62" i="6"/>
  <c r="BK61" i="6"/>
  <c r="BG61" i="6"/>
  <c r="BF61" i="6"/>
  <c r="BE61" i="6"/>
  <c r="BD61" i="6"/>
  <c r="BC61" i="6"/>
  <c r="BB61" i="6"/>
  <c r="BA61" i="6"/>
  <c r="AZ61" i="6"/>
  <c r="AY61" i="6"/>
  <c r="AX61" i="6"/>
  <c r="AW61" i="6"/>
  <c r="AV61" i="6"/>
  <c r="Q61" i="6"/>
  <c r="BK60" i="6"/>
  <c r="BI60" i="6"/>
  <c r="BH61" i="6" s="1"/>
  <c r="BG60" i="6"/>
  <c r="BF60" i="6"/>
  <c r="BE60" i="6"/>
  <c r="BD60" i="6"/>
  <c r="BC60" i="6"/>
  <c r="BB60" i="6"/>
  <c r="BA60" i="6"/>
  <c r="AZ60" i="6"/>
  <c r="AY60" i="6"/>
  <c r="AX60" i="6"/>
  <c r="AW60" i="6"/>
  <c r="AV60" i="6"/>
  <c r="Q60" i="6"/>
  <c r="BK59" i="6"/>
  <c r="BH59" i="6"/>
  <c r="BG59" i="6"/>
  <c r="BF59" i="6"/>
  <c r="BE59" i="6"/>
  <c r="BD59" i="6"/>
  <c r="BC59" i="6"/>
  <c r="BB59" i="6"/>
  <c r="BA59" i="6"/>
  <c r="AZ59" i="6"/>
  <c r="AY59" i="6"/>
  <c r="AX59" i="6"/>
  <c r="AW59" i="6"/>
  <c r="AV59" i="6"/>
  <c r="Q59" i="6"/>
  <c r="BK58" i="6"/>
  <c r="BG58" i="6"/>
  <c r="BF58" i="6"/>
  <c r="BE58" i="6"/>
  <c r="BD58" i="6"/>
  <c r="BC58" i="6"/>
  <c r="BB58" i="6"/>
  <c r="BA58" i="6"/>
  <c r="AZ58" i="6"/>
  <c r="AY58" i="6"/>
  <c r="AX58" i="6"/>
  <c r="AW58" i="6"/>
  <c r="AV58" i="6"/>
  <c r="Q58" i="6"/>
  <c r="BK57" i="6"/>
  <c r="BG57" i="6"/>
  <c r="BF57" i="6"/>
  <c r="BE57" i="6"/>
  <c r="BD57" i="6"/>
  <c r="BC57" i="6"/>
  <c r="BB57" i="6"/>
  <c r="BA57" i="6"/>
  <c r="AZ57" i="6"/>
  <c r="AY57" i="6"/>
  <c r="AX57" i="6"/>
  <c r="AW57" i="6"/>
  <c r="AV57" i="6"/>
  <c r="Q57" i="6"/>
  <c r="BK56" i="6"/>
  <c r="BI56" i="6"/>
  <c r="BH58" i="6" s="1"/>
  <c r="BG56" i="6"/>
  <c r="BF56" i="6"/>
  <c r="BE56" i="6"/>
  <c r="BD56" i="6"/>
  <c r="BC56" i="6"/>
  <c r="BB56" i="6"/>
  <c r="BA56" i="6"/>
  <c r="AZ56" i="6"/>
  <c r="AY56" i="6"/>
  <c r="AX56" i="6"/>
  <c r="AW56" i="6"/>
  <c r="AV56" i="6"/>
  <c r="Q56" i="6"/>
  <c r="BK55" i="6"/>
  <c r="BH55" i="6"/>
  <c r="BG55" i="6"/>
  <c r="BF55" i="6"/>
  <c r="BE55" i="6"/>
  <c r="BD55" i="6"/>
  <c r="BC55" i="6"/>
  <c r="BB55" i="6"/>
  <c r="BA55" i="6"/>
  <c r="AZ55" i="6"/>
  <c r="AY55" i="6"/>
  <c r="AX55" i="6"/>
  <c r="AW55" i="6"/>
  <c r="AV55" i="6"/>
  <c r="Q55" i="6"/>
  <c r="BK54" i="6"/>
  <c r="BG54" i="6"/>
  <c r="BF54" i="6"/>
  <c r="BE54" i="6"/>
  <c r="BD54" i="6"/>
  <c r="BC54" i="6"/>
  <c r="BB54" i="6"/>
  <c r="BA54" i="6"/>
  <c r="AZ54" i="6"/>
  <c r="AY54" i="6"/>
  <c r="AX54" i="6"/>
  <c r="AW54" i="6"/>
  <c r="AV54" i="6"/>
  <c r="Q54" i="6"/>
  <c r="BK53" i="6"/>
  <c r="BG53" i="6"/>
  <c r="BF53" i="6"/>
  <c r="BE53" i="6"/>
  <c r="BD53" i="6"/>
  <c r="BC53" i="6"/>
  <c r="BB53" i="6"/>
  <c r="BA53" i="6"/>
  <c r="AZ53" i="6"/>
  <c r="AY53" i="6"/>
  <c r="AX53" i="6"/>
  <c r="AW53" i="6"/>
  <c r="AV53" i="6"/>
  <c r="Q53" i="6"/>
  <c r="BK52" i="6"/>
  <c r="BI52" i="6"/>
  <c r="BH53" i="6" s="1"/>
  <c r="BG52" i="6"/>
  <c r="BF52" i="6"/>
  <c r="BE52" i="6"/>
  <c r="BD52" i="6"/>
  <c r="BC52" i="6"/>
  <c r="BB52" i="6"/>
  <c r="BA52" i="6"/>
  <c r="AZ52" i="6"/>
  <c r="AY52" i="6"/>
  <c r="AX52" i="6"/>
  <c r="AW52" i="6"/>
  <c r="AV52" i="6"/>
  <c r="Q52" i="6"/>
  <c r="BK51" i="6"/>
  <c r="BH51" i="6"/>
  <c r="BG51" i="6"/>
  <c r="BF51" i="6"/>
  <c r="BE51" i="6"/>
  <c r="BD51" i="6"/>
  <c r="BC51" i="6"/>
  <c r="BB51" i="6"/>
  <c r="BA51" i="6"/>
  <c r="AZ51" i="6"/>
  <c r="AY51" i="6"/>
  <c r="AX51" i="6"/>
  <c r="AW51" i="6"/>
  <c r="AV51" i="6"/>
  <c r="Q51" i="6"/>
  <c r="BK50" i="6"/>
  <c r="BG50" i="6"/>
  <c r="BF50" i="6"/>
  <c r="BE50" i="6"/>
  <c r="BD50" i="6"/>
  <c r="BC50" i="6"/>
  <c r="BB50" i="6"/>
  <c r="BA50" i="6"/>
  <c r="AZ50" i="6"/>
  <c r="AY50" i="6"/>
  <c r="AX50" i="6"/>
  <c r="AW50" i="6"/>
  <c r="AV50" i="6"/>
  <c r="Q50" i="6"/>
  <c r="BK49" i="6"/>
  <c r="BG49" i="6"/>
  <c r="BF49" i="6"/>
  <c r="BE49" i="6"/>
  <c r="BD49" i="6"/>
  <c r="BC49" i="6"/>
  <c r="BB49" i="6"/>
  <c r="BA49" i="6"/>
  <c r="AZ49" i="6"/>
  <c r="AY49" i="6"/>
  <c r="AX49" i="6"/>
  <c r="AW49" i="6"/>
  <c r="AV49" i="6"/>
  <c r="Q49" i="6"/>
  <c r="BK48" i="6"/>
  <c r="BI48" i="6"/>
  <c r="BH50" i="6" s="1"/>
  <c r="BH48" i="6"/>
  <c r="BG48" i="6"/>
  <c r="BF48" i="6"/>
  <c r="BE48" i="6"/>
  <c r="BD48" i="6"/>
  <c r="BC48" i="6"/>
  <c r="BB48" i="6"/>
  <c r="BA48" i="6"/>
  <c r="AZ48" i="6"/>
  <c r="AY48" i="6"/>
  <c r="AX48" i="6"/>
  <c r="AW48" i="6"/>
  <c r="AV48" i="6"/>
  <c r="Q48" i="6"/>
  <c r="BK47" i="6"/>
  <c r="BH47" i="6"/>
  <c r="BG47" i="6"/>
  <c r="BF47" i="6"/>
  <c r="BE47" i="6"/>
  <c r="BD47" i="6"/>
  <c r="BC47" i="6"/>
  <c r="BB47" i="6"/>
  <c r="BA47" i="6"/>
  <c r="AZ47" i="6"/>
  <c r="AY47" i="6"/>
  <c r="AX47" i="6"/>
  <c r="AW47" i="6"/>
  <c r="AV47" i="6"/>
  <c r="Q47" i="6"/>
  <c r="BK46" i="6"/>
  <c r="BG46" i="6"/>
  <c r="BF46" i="6"/>
  <c r="BE46" i="6"/>
  <c r="BD46" i="6"/>
  <c r="BC46" i="6"/>
  <c r="BB46" i="6"/>
  <c r="BA46" i="6"/>
  <c r="AZ46" i="6"/>
  <c r="AY46" i="6"/>
  <c r="AX46" i="6"/>
  <c r="AW46" i="6"/>
  <c r="AV46" i="6"/>
  <c r="Q46" i="6"/>
  <c r="BK45" i="6"/>
  <c r="BG45" i="6"/>
  <c r="BF45" i="6"/>
  <c r="BE45" i="6"/>
  <c r="BD45" i="6"/>
  <c r="BC45" i="6"/>
  <c r="BB45" i="6"/>
  <c r="BA45" i="6"/>
  <c r="AZ45" i="6"/>
  <c r="AY45" i="6"/>
  <c r="AX45" i="6"/>
  <c r="AW45" i="6"/>
  <c r="AV45" i="6"/>
  <c r="Q45" i="6"/>
  <c r="BK44" i="6"/>
  <c r="BI44" i="6"/>
  <c r="BH46" i="6" s="1"/>
  <c r="BH44" i="6"/>
  <c r="BG44" i="6"/>
  <c r="BF44" i="6"/>
  <c r="BE44" i="6"/>
  <c r="BD44" i="6"/>
  <c r="BC44" i="6"/>
  <c r="BB44" i="6"/>
  <c r="BA44" i="6"/>
  <c r="AZ44" i="6"/>
  <c r="AY44" i="6"/>
  <c r="AX44" i="6"/>
  <c r="AW44" i="6"/>
  <c r="AV44" i="6"/>
  <c r="Q44" i="6"/>
  <c r="BK43" i="6"/>
  <c r="BH43" i="6"/>
  <c r="BG43" i="6"/>
  <c r="BF43" i="6"/>
  <c r="BE43" i="6"/>
  <c r="BD43" i="6"/>
  <c r="BC43" i="6"/>
  <c r="BB43" i="6"/>
  <c r="BA43" i="6"/>
  <c r="AZ43" i="6"/>
  <c r="AY43" i="6"/>
  <c r="AX43" i="6"/>
  <c r="AW43" i="6"/>
  <c r="AV43" i="6"/>
  <c r="Q43" i="6"/>
  <c r="BK42" i="6"/>
  <c r="BG42" i="6"/>
  <c r="BF42" i="6"/>
  <c r="BE42" i="6"/>
  <c r="BD42" i="6"/>
  <c r="BC42" i="6"/>
  <c r="BB42" i="6"/>
  <c r="BA42" i="6"/>
  <c r="AZ42" i="6"/>
  <c r="AY42" i="6"/>
  <c r="AX42" i="6"/>
  <c r="AW42" i="6"/>
  <c r="AV42" i="6"/>
  <c r="Q42" i="6"/>
  <c r="BK41" i="6"/>
  <c r="BG41" i="6"/>
  <c r="BF41" i="6"/>
  <c r="BE41" i="6"/>
  <c r="BD41" i="6"/>
  <c r="BC41" i="6"/>
  <c r="BB41" i="6"/>
  <c r="BA41" i="6"/>
  <c r="AZ41" i="6"/>
  <c r="AY41" i="6"/>
  <c r="AX41" i="6"/>
  <c r="AW41" i="6"/>
  <c r="AV41" i="6"/>
  <c r="Q41" i="6"/>
  <c r="BK40" i="6"/>
  <c r="BI40" i="6"/>
  <c r="BH42" i="6" s="1"/>
  <c r="BH40" i="6"/>
  <c r="BG40" i="6"/>
  <c r="BF40" i="6"/>
  <c r="BE40" i="6"/>
  <c r="BD40" i="6"/>
  <c r="BC40" i="6"/>
  <c r="BB40" i="6"/>
  <c r="BA40" i="6"/>
  <c r="AZ40" i="6"/>
  <c r="AY40" i="6"/>
  <c r="AX40" i="6"/>
  <c r="AW40" i="6"/>
  <c r="AV40" i="6"/>
  <c r="AF40" i="6"/>
  <c r="Q40" i="6"/>
  <c r="BK39" i="6"/>
  <c r="BH39" i="6"/>
  <c r="BG39" i="6"/>
  <c r="BF39" i="6"/>
  <c r="BE39" i="6"/>
  <c r="BD39" i="6"/>
  <c r="BC39" i="6"/>
  <c r="BB39" i="6"/>
  <c r="BA39" i="6"/>
  <c r="AZ39" i="6"/>
  <c r="AY39" i="6"/>
  <c r="AX39" i="6"/>
  <c r="AW39" i="6"/>
  <c r="AV39" i="6"/>
  <c r="AT39" i="6" a="1"/>
  <c r="AT39" i="6" s="1"/>
  <c r="AJ39" i="6" s="1"/>
  <c r="BM105" i="6" s="1"/>
  <c r="AN39" i="6"/>
  <c r="AM39" i="6"/>
  <c r="AL39" i="6"/>
  <c r="AG39" i="6"/>
  <c r="AU39" i="6" s="1" a="1"/>
  <c r="AU39" i="6" s="1"/>
  <c r="AK39" i="6" s="1"/>
  <c r="BM106" i="6" s="1"/>
  <c r="Q39" i="6"/>
  <c r="BK38" i="6"/>
  <c r="BG38" i="6"/>
  <c r="BF38" i="6"/>
  <c r="BE38" i="6"/>
  <c r="BD38" i="6"/>
  <c r="BC38" i="6"/>
  <c r="BB38" i="6"/>
  <c r="BA38" i="6"/>
  <c r="AZ38" i="6"/>
  <c r="AY38" i="6"/>
  <c r="AX38" i="6"/>
  <c r="AW38" i="6"/>
  <c r="AV38" i="6"/>
  <c r="AL38" i="6"/>
  <c r="AG38" i="6"/>
  <c r="AP38" i="6" s="1"/>
  <c r="Q38" i="6"/>
  <c r="BK37" i="6"/>
  <c r="BG37" i="6"/>
  <c r="BF37" i="6"/>
  <c r="BE37" i="6"/>
  <c r="BD37" i="6"/>
  <c r="BC37" i="6"/>
  <c r="BB37" i="6"/>
  <c r="BA37" i="6"/>
  <c r="AZ37" i="6"/>
  <c r="AY37" i="6"/>
  <c r="AX37" i="6"/>
  <c r="AW37" i="6"/>
  <c r="AV37" i="6"/>
  <c r="AP37" i="6"/>
  <c r="AL37" i="6"/>
  <c r="AG37" i="6"/>
  <c r="AO37" i="6" s="1"/>
  <c r="Q37" i="6"/>
  <c r="BK36" i="6"/>
  <c r="BI36" i="6"/>
  <c r="BH37" i="6" s="1"/>
  <c r="BH36" i="6"/>
  <c r="BG36" i="6"/>
  <c r="BF36" i="6"/>
  <c r="BE36" i="6"/>
  <c r="BD36" i="6"/>
  <c r="BC36" i="6"/>
  <c r="BB36" i="6"/>
  <c r="BA36" i="6"/>
  <c r="AZ36" i="6"/>
  <c r="AY36" i="6"/>
  <c r="AX36" i="6"/>
  <c r="AW36" i="6"/>
  <c r="AV36" i="6"/>
  <c r="AL36" i="6"/>
  <c r="AG36" i="6"/>
  <c r="AU36" i="6" s="1" a="1"/>
  <c r="AU36" i="6" s="1"/>
  <c r="AK36" i="6" s="1"/>
  <c r="BM94" i="6" s="1"/>
  <c r="Q36" i="6"/>
  <c r="BK35" i="6"/>
  <c r="BH35" i="6"/>
  <c r="BG35" i="6"/>
  <c r="BF35" i="6"/>
  <c r="BE35" i="6"/>
  <c r="BD35" i="6"/>
  <c r="BC35" i="6"/>
  <c r="BB35" i="6"/>
  <c r="BA35" i="6"/>
  <c r="AZ35" i="6"/>
  <c r="AY35" i="6"/>
  <c r="AX35" i="6"/>
  <c r="AW35" i="6"/>
  <c r="AV35" i="6"/>
  <c r="AL35" i="6"/>
  <c r="AG35" i="6"/>
  <c r="AP35" i="6" s="1"/>
  <c r="Q35" i="6"/>
  <c r="BK34" i="6"/>
  <c r="BG34" i="6"/>
  <c r="BF34" i="6"/>
  <c r="BE34" i="6"/>
  <c r="BD34" i="6"/>
  <c r="BC34" i="6"/>
  <c r="BB34" i="6"/>
  <c r="BA34" i="6"/>
  <c r="AZ34" i="6"/>
  <c r="AY34" i="6"/>
  <c r="AX34" i="6"/>
  <c r="AW34" i="6"/>
  <c r="AV34" i="6"/>
  <c r="AP34" i="6"/>
  <c r="AL34" i="6"/>
  <c r="AG34" i="6"/>
  <c r="AN34" i="6" s="1"/>
  <c r="Q34" i="6"/>
  <c r="BK33" i="6"/>
  <c r="BG33" i="6"/>
  <c r="BF33" i="6"/>
  <c r="BE33" i="6"/>
  <c r="BD33" i="6"/>
  <c r="BC33" i="6"/>
  <c r="BB33" i="6"/>
  <c r="BA33" i="6"/>
  <c r="AZ33" i="6"/>
  <c r="AY33" i="6"/>
  <c r="AX33" i="6"/>
  <c r="AW33" i="6"/>
  <c r="AV33" i="6"/>
  <c r="AR33" i="6" a="1"/>
  <c r="AR33" i="6" s="1"/>
  <c r="AH33" i="6" s="1"/>
  <c r="BM79" i="6" s="1"/>
  <c r="AL33" i="6"/>
  <c r="AG33" i="6"/>
  <c r="AU33" i="6" s="1" a="1"/>
  <c r="AU33" i="6" s="1"/>
  <c r="AK33" i="6" s="1"/>
  <c r="BM82" i="6" s="1"/>
  <c r="Q33" i="6"/>
  <c r="BK32" i="6"/>
  <c r="BI32" i="6"/>
  <c r="BH32" i="6" s="1"/>
  <c r="BG32" i="6"/>
  <c r="BF32" i="6"/>
  <c r="BE32" i="6"/>
  <c r="BD32" i="6"/>
  <c r="BC32" i="6"/>
  <c r="BB32" i="6"/>
  <c r="BA32" i="6"/>
  <c r="AZ32" i="6"/>
  <c r="AY32" i="6"/>
  <c r="AX32" i="6"/>
  <c r="AW32" i="6"/>
  <c r="AV32" i="6"/>
  <c r="AL32" i="6"/>
  <c r="AG32" i="6"/>
  <c r="AT32" i="6" s="1" a="1"/>
  <c r="AT32" i="6" s="1"/>
  <c r="AJ32" i="6" s="1"/>
  <c r="BM77" i="6" s="1"/>
  <c r="Q32" i="6"/>
  <c r="BK31" i="6"/>
  <c r="BG31" i="6"/>
  <c r="BF31" i="6"/>
  <c r="BE31" i="6"/>
  <c r="BD31" i="6"/>
  <c r="BC31" i="6"/>
  <c r="BB31" i="6"/>
  <c r="BA31" i="6"/>
  <c r="AZ31" i="6"/>
  <c r="AY31" i="6"/>
  <c r="AX31" i="6"/>
  <c r="AW31" i="6"/>
  <c r="AV31" i="6"/>
  <c r="AL31" i="6"/>
  <c r="AG31" i="6"/>
  <c r="AN31" i="6" s="1"/>
  <c r="Q31" i="6"/>
  <c r="BK30" i="6"/>
  <c r="BH30" i="6"/>
  <c r="BG30" i="6"/>
  <c r="BF30" i="6"/>
  <c r="BE30" i="6"/>
  <c r="BD30" i="6"/>
  <c r="BC30" i="6"/>
  <c r="BB30" i="6"/>
  <c r="BA30" i="6"/>
  <c r="AZ30" i="6"/>
  <c r="AY30" i="6"/>
  <c r="AX30" i="6"/>
  <c r="AW30" i="6"/>
  <c r="AV30" i="6"/>
  <c r="AR30" i="6" a="1"/>
  <c r="AR30" i="6" s="1"/>
  <c r="AH30" i="6" s="1"/>
  <c r="BM67" i="6" s="1"/>
  <c r="AM30" i="6"/>
  <c r="AL30" i="6"/>
  <c r="AG30" i="6"/>
  <c r="AU30" i="6" s="1" a="1"/>
  <c r="AU30" i="6" s="1"/>
  <c r="AK30" i="6" s="1"/>
  <c r="BM70" i="6" s="1"/>
  <c r="Q30" i="6"/>
  <c r="BK29" i="6"/>
  <c r="BH29" i="6"/>
  <c r="BG29" i="6"/>
  <c r="BF29" i="6"/>
  <c r="BE29" i="6"/>
  <c r="BD29" i="6"/>
  <c r="BC29" i="6"/>
  <c r="BB29" i="6"/>
  <c r="BA29" i="6"/>
  <c r="AZ29" i="6"/>
  <c r="AY29" i="6"/>
  <c r="AX29" i="6"/>
  <c r="AW29" i="6"/>
  <c r="AV29" i="6"/>
  <c r="AN29" i="6"/>
  <c r="AL29" i="6"/>
  <c r="AG29" i="6"/>
  <c r="AP29" i="6" s="1"/>
  <c r="Q29" i="6"/>
  <c r="BK28" i="6"/>
  <c r="BI28" i="6"/>
  <c r="BH28" i="6"/>
  <c r="BG28" i="6"/>
  <c r="BF28" i="6"/>
  <c r="BE28" i="6"/>
  <c r="BD28" i="6"/>
  <c r="BC28" i="6"/>
  <c r="BB28" i="6"/>
  <c r="BA28" i="6"/>
  <c r="AZ28" i="6"/>
  <c r="AY28" i="6"/>
  <c r="AX28" i="6"/>
  <c r="AW28" i="6"/>
  <c r="AV28" i="6"/>
  <c r="AL28" i="6"/>
  <c r="AG28" i="6"/>
  <c r="AN28" i="6" s="1"/>
  <c r="Q28" i="6"/>
  <c r="BK27" i="6"/>
  <c r="BH27" i="6"/>
  <c r="BG27" i="6"/>
  <c r="BF27" i="6"/>
  <c r="BE27" i="6"/>
  <c r="BD27" i="6"/>
  <c r="BC27" i="6"/>
  <c r="BB27" i="6"/>
  <c r="BA27" i="6"/>
  <c r="AZ27" i="6"/>
  <c r="AY27" i="6"/>
  <c r="AX27" i="6"/>
  <c r="AW27" i="6"/>
  <c r="AV27" i="6"/>
  <c r="AT27" i="6" a="1"/>
  <c r="AT27" i="6" s="1"/>
  <c r="AJ27" i="6" s="1"/>
  <c r="BM57" i="6" s="1"/>
  <c r="AN27" i="6"/>
  <c r="AM27" i="6"/>
  <c r="AL27" i="6"/>
  <c r="AG27" i="6"/>
  <c r="AU27" i="6" s="1" a="1"/>
  <c r="AU27" i="6" s="1"/>
  <c r="AK27" i="6" s="1"/>
  <c r="BM58" i="6" s="1"/>
  <c r="Q27" i="6"/>
  <c r="BK26" i="6"/>
  <c r="BL26" i="6" s="1"/>
  <c r="BG26" i="6"/>
  <c r="BF26" i="6"/>
  <c r="BE26" i="6"/>
  <c r="BD26" i="6"/>
  <c r="BC26" i="6"/>
  <c r="BB26" i="6"/>
  <c r="BA26" i="6"/>
  <c r="AZ26" i="6"/>
  <c r="AY26" i="6"/>
  <c r="AX26" i="6"/>
  <c r="AW26" i="6"/>
  <c r="AV26" i="6"/>
  <c r="AT26" i="6" a="1"/>
  <c r="AT26" i="6" s="1"/>
  <c r="AJ26" i="6" s="1"/>
  <c r="BM53" i="6" s="1"/>
  <c r="AN26" i="6"/>
  <c r="AM26" i="6"/>
  <c r="AL26" i="6"/>
  <c r="AG26" i="6"/>
  <c r="AP26" i="6" s="1"/>
  <c r="Q26" i="6"/>
  <c r="BL25" i="6"/>
  <c r="BK25" i="6"/>
  <c r="BG25" i="6"/>
  <c r="BF25" i="6"/>
  <c r="BE25" i="6"/>
  <c r="BD25" i="6"/>
  <c r="BC25" i="6"/>
  <c r="BB25" i="6"/>
  <c r="BA25" i="6"/>
  <c r="AZ25" i="6"/>
  <c r="AY25" i="6"/>
  <c r="AX25" i="6"/>
  <c r="AW25" i="6"/>
  <c r="AV25" i="6"/>
  <c r="AL25" i="6"/>
  <c r="AG25" i="6"/>
  <c r="AO25" i="6" s="1"/>
  <c r="Q25" i="6"/>
  <c r="BK24" i="6"/>
  <c r="BL24" i="6" s="1"/>
  <c r="BI24" i="6"/>
  <c r="BH24" i="6"/>
  <c r="BG24" i="6"/>
  <c r="BF24" i="6"/>
  <c r="BE24" i="6"/>
  <c r="BD24" i="6"/>
  <c r="BC24" i="6"/>
  <c r="BB24" i="6"/>
  <c r="BA24" i="6"/>
  <c r="AZ24" i="6"/>
  <c r="AY24" i="6"/>
  <c r="AX24" i="6"/>
  <c r="AW24" i="6"/>
  <c r="AV24" i="6"/>
  <c r="AL24" i="6"/>
  <c r="AG24" i="6"/>
  <c r="AU24" i="6" s="1" a="1"/>
  <c r="AU24" i="6" s="1"/>
  <c r="AK24" i="6" s="1"/>
  <c r="BM46" i="6" s="1"/>
  <c r="Q24" i="6"/>
  <c r="CU23" i="6"/>
  <c r="CT23" i="6"/>
  <c r="CW23" i="6" s="1"/>
  <c r="CP23" i="6"/>
  <c r="CQ23" i="6" s="1"/>
  <c r="CL23" i="6"/>
  <c r="CM23" i="6" s="1"/>
  <c r="CK23" i="6"/>
  <c r="CJ23" i="6"/>
  <c r="CI23" i="6"/>
  <c r="CG23" i="6"/>
  <c r="CF23" i="6"/>
  <c r="CE23" i="6"/>
  <c r="CD23" i="6"/>
  <c r="CC23" i="6"/>
  <c r="CB23" i="6"/>
  <c r="CA23" i="6"/>
  <c r="BK23" i="6"/>
  <c r="BL23" i="6" s="1"/>
  <c r="BG23" i="6"/>
  <c r="BF23" i="6"/>
  <c r="BE23" i="6"/>
  <c r="BD23" i="6"/>
  <c r="BC23" i="6"/>
  <c r="BB23" i="6"/>
  <c r="BA23" i="6"/>
  <c r="AZ23" i="6"/>
  <c r="AY23" i="6"/>
  <c r="AX23" i="6"/>
  <c r="AW23" i="6"/>
  <c r="AV23" i="6"/>
  <c r="AL23" i="6"/>
  <c r="AG23" i="6"/>
  <c r="AP23" i="6" s="1"/>
  <c r="Q23" i="6"/>
  <c r="AG22" i="6"/>
  <c r="AU22" i="6" s="1" a="1"/>
  <c r="AU22" i="6" s="1"/>
  <c r="AK22" i="6" s="1"/>
  <c r="BM38" i="6" s="1"/>
  <c r="AB22" i="6"/>
  <c r="Z22" i="6"/>
  <c r="X22" i="6"/>
  <c r="V22" i="6"/>
  <c r="T22" i="6"/>
  <c r="R22" i="6"/>
  <c r="BH21" i="6"/>
  <c r="BH22" i="6" s="1"/>
  <c r="BH23" i="6" s="1"/>
  <c r="BH26" i="6" s="1"/>
  <c r="AG21" i="6"/>
  <c r="AP21" i="6" s="1"/>
  <c r="CH20" i="6"/>
  <c r="CG20" i="6"/>
  <c r="CF20" i="6"/>
  <c r="CE20" i="6"/>
  <c r="BH20" i="6"/>
  <c r="AV20" i="6"/>
  <c r="AG20" i="6"/>
  <c r="AP20" i="6" s="1"/>
  <c r="BH19" i="6"/>
  <c r="AF41" i="6" s="1"/>
  <c r="AV19" i="6"/>
  <c r="AM19" i="6" a="1"/>
  <c r="AM19" i="6" s="1"/>
  <c r="AL19" i="6"/>
  <c r="AN19" i="6" s="1"/>
  <c r="AP19" i="6" s="1"/>
  <c r="AB19" i="6"/>
  <c r="Z19" i="6"/>
  <c r="X19" i="6"/>
  <c r="V19" i="6"/>
  <c r="T19" i="6"/>
  <c r="R19" i="6"/>
  <c r="Q19" i="6"/>
  <c r="BH18" i="6"/>
  <c r="AR17" i="6"/>
  <c r="AG18" i="6" s="1"/>
  <c r="AR23" i="6" l="1" a="1"/>
  <c r="AR23" i="6" s="1"/>
  <c r="AH23" i="6" s="1"/>
  <c r="BM39" i="6" s="1"/>
  <c r="AP24" i="6"/>
  <c r="AN36" i="6"/>
  <c r="AT36" i="6" a="1"/>
  <c r="AT36" i="6" s="1"/>
  <c r="AJ36" i="6" s="1"/>
  <c r="BM93" i="6" s="1"/>
  <c r="AP22" i="6"/>
  <c r="AR29" i="6" a="1"/>
  <c r="AR29" i="6" s="1"/>
  <c r="AH29" i="6" s="1"/>
  <c r="BM63" i="6" s="1"/>
  <c r="AT33" i="6" a="1"/>
  <c r="AT33" i="6" s="1"/>
  <c r="AJ33" i="6" s="1"/>
  <c r="BM81" i="6" s="1"/>
  <c r="AP36" i="6"/>
  <c r="AM23" i="6"/>
  <c r="AM24" i="6"/>
  <c r="AT24" i="6" a="1"/>
  <c r="AT24" i="6" s="1"/>
  <c r="AJ24" i="6" s="1"/>
  <c r="BM45" i="6" s="1"/>
  <c r="AP27" i="6"/>
  <c r="AP31" i="6"/>
  <c r="BH33" i="6"/>
  <c r="AM35" i="6"/>
  <c r="AR36" i="6" a="1"/>
  <c r="AR36" i="6" s="1"/>
  <c r="AH36" i="6" s="1"/>
  <c r="BM91" i="6" s="1"/>
  <c r="AP39" i="6"/>
  <c r="BH65" i="6"/>
  <c r="BH85" i="6"/>
  <c r="AT23" i="6" a="1"/>
  <c r="AT23" i="6" s="1"/>
  <c r="AJ23" i="6" s="1"/>
  <c r="BM41" i="6" s="1"/>
  <c r="AR24" i="6" a="1"/>
  <c r="AR24" i="6" s="1"/>
  <c r="AH24" i="6" s="1"/>
  <c r="BM43" i="6" s="1"/>
  <c r="AN23" i="6"/>
  <c r="AN24" i="6"/>
  <c r="AR26" i="6" a="1"/>
  <c r="AR26" i="6" s="1"/>
  <c r="AH26" i="6" s="1"/>
  <c r="BM51" i="6" s="1"/>
  <c r="AR27" i="6" a="1"/>
  <c r="AR27" i="6" s="1"/>
  <c r="AH27" i="6" s="1"/>
  <c r="BM55" i="6" s="1"/>
  <c r="AP28" i="6"/>
  <c r="AM29" i="6"/>
  <c r="AT30" i="6" a="1"/>
  <c r="AT30" i="6" s="1"/>
  <c r="AJ30" i="6" s="1"/>
  <c r="BM69" i="6" s="1"/>
  <c r="BH31" i="6"/>
  <c r="AM33" i="6"/>
  <c r="AU35" i="6" a="1"/>
  <c r="AU35" i="6" s="1"/>
  <c r="AK35" i="6" s="1"/>
  <c r="BM90" i="6" s="1"/>
  <c r="AM36" i="6"/>
  <c r="AR39" i="6" a="1"/>
  <c r="AR39" i="6" s="1"/>
  <c r="AH39" i="6" s="1"/>
  <c r="BM103" i="6" s="1"/>
  <c r="BH41" i="6"/>
  <c r="BH45" i="6"/>
  <c r="BH49" i="6"/>
  <c r="BH77" i="6"/>
  <c r="BM26" i="6"/>
  <c r="BN26" i="6" s="1"/>
  <c r="BM23" i="6"/>
  <c r="BN23" i="6" s="1"/>
  <c r="BM25" i="6"/>
  <c r="BN25" i="6" s="1"/>
  <c r="BM24" i="6"/>
  <c r="BN24" i="6" s="1"/>
  <c r="AO19" i="6"/>
  <c r="AO20" i="6"/>
  <c r="AO21" i="6"/>
  <c r="AU21" i="6" a="1"/>
  <c r="AU21" i="6" s="1"/>
  <c r="AK21" i="6" s="1"/>
  <c r="BM34" i="6" s="1"/>
  <c r="AM20" i="6"/>
  <c r="AR20" i="6" a="1"/>
  <c r="AR20" i="6" s="1"/>
  <c r="AH20" i="6" s="1"/>
  <c r="BM27" i="6" s="1"/>
  <c r="BN27" i="6" s="1"/>
  <c r="AT20" i="6" a="1"/>
  <c r="AT20" i="6" s="1"/>
  <c r="AJ20" i="6" s="1"/>
  <c r="BM29" i="6" s="1"/>
  <c r="AM21" i="6"/>
  <c r="AR21" i="6" a="1"/>
  <c r="AR21" i="6" s="1"/>
  <c r="AH21" i="6" s="1"/>
  <c r="BM31" i="6" s="1"/>
  <c r="AT21" i="6" a="1"/>
  <c r="AT21" i="6" s="1"/>
  <c r="AJ21" i="6" s="1"/>
  <c r="BM33" i="6" s="1"/>
  <c r="AN22" i="6"/>
  <c r="AS22" i="6" a="1"/>
  <c r="AS22" i="6" s="1"/>
  <c r="AI22" i="6" s="1"/>
  <c r="BM36" i="6" s="1"/>
  <c r="BL27" i="6"/>
  <c r="BL28" i="6" s="1"/>
  <c r="BL29" i="6" s="1"/>
  <c r="BL30" i="6" s="1"/>
  <c r="BL31" i="6" s="1"/>
  <c r="BL32" i="6" s="1"/>
  <c r="BL33" i="6" s="1"/>
  <c r="BL34" i="6" s="1"/>
  <c r="BL35" i="6" s="1"/>
  <c r="BL36" i="6" s="1"/>
  <c r="BL37" i="6" s="1"/>
  <c r="BL38" i="6" s="1"/>
  <c r="BL39" i="6" s="1"/>
  <c r="BL40" i="6" s="1"/>
  <c r="BL41" i="6" s="1"/>
  <c r="BL42" i="6" s="1"/>
  <c r="BL43" i="6" s="1"/>
  <c r="BL44" i="6" s="1"/>
  <c r="BL45" i="6" s="1"/>
  <c r="BL46" i="6" s="1"/>
  <c r="BL47" i="6" s="1"/>
  <c r="BL48" i="6" s="1"/>
  <c r="BL49" i="6" s="1"/>
  <c r="BL50" i="6" s="1"/>
  <c r="BL51" i="6" s="1"/>
  <c r="BL52" i="6" s="1"/>
  <c r="BL53" i="6" s="1"/>
  <c r="BL54" i="6" s="1"/>
  <c r="BL55" i="6" s="1"/>
  <c r="BL56" i="6" s="1"/>
  <c r="BL57" i="6" s="1"/>
  <c r="BL58" i="6" s="1"/>
  <c r="BL59" i="6" s="1"/>
  <c r="BL60" i="6" s="1"/>
  <c r="BL61" i="6" s="1"/>
  <c r="BL62" i="6" s="1"/>
  <c r="BL63" i="6" s="1"/>
  <c r="BL64" i="6" s="1"/>
  <c r="BL65" i="6" s="1"/>
  <c r="BL66" i="6" s="1"/>
  <c r="BL67" i="6" s="1"/>
  <c r="BL68" i="6" s="1"/>
  <c r="BL69" i="6" s="1"/>
  <c r="BL70" i="6" s="1"/>
  <c r="BL71" i="6" s="1"/>
  <c r="BL72" i="6" s="1"/>
  <c r="BL73" i="6" s="1"/>
  <c r="BL74" i="6" s="1"/>
  <c r="BL75" i="6" s="1"/>
  <c r="BL76" i="6" s="1"/>
  <c r="BL77" i="6" s="1"/>
  <c r="BL78" i="6" s="1"/>
  <c r="BL79" i="6" s="1"/>
  <c r="BL80" i="6" s="1"/>
  <c r="BL81" i="6" s="1"/>
  <c r="BL82" i="6" s="1"/>
  <c r="BL83" i="6" s="1"/>
  <c r="BL84" i="6" s="1"/>
  <c r="BL85" i="6" s="1"/>
  <c r="BL86" i="6" s="1"/>
  <c r="BL87" i="6" s="1"/>
  <c r="BL88" i="6" s="1"/>
  <c r="BL89" i="6" s="1"/>
  <c r="BL90" i="6" s="1"/>
  <c r="BL91" i="6" s="1"/>
  <c r="BL92" i="6" s="1"/>
  <c r="BL93" i="6" s="1"/>
  <c r="BL94" i="6" s="1"/>
  <c r="BL95" i="6" s="1"/>
  <c r="BL96" i="6" s="1"/>
  <c r="BL97" i="6" s="1"/>
  <c r="BL98" i="6" s="1"/>
  <c r="BL99" i="6" s="1"/>
  <c r="BL100" i="6" s="1"/>
  <c r="BL101" i="6" s="1"/>
  <c r="BL102" i="6" s="1"/>
  <c r="BL103" i="6" s="1"/>
  <c r="BL104" i="6" s="1"/>
  <c r="BL105" i="6" s="1"/>
  <c r="BL106" i="6" s="1"/>
  <c r="AS20" i="6" a="1"/>
  <c r="AS20" i="6" s="1"/>
  <c r="AI20" i="6" s="1"/>
  <c r="BM28" i="6" s="1"/>
  <c r="BN28" i="6" s="1"/>
  <c r="AU20" i="6" a="1"/>
  <c r="AU20" i="6" s="1"/>
  <c r="AK20" i="6" s="1"/>
  <c r="BM30" i="6" s="1"/>
  <c r="AS21" i="6" a="1"/>
  <c r="AS21" i="6" s="1"/>
  <c r="AI21" i="6" s="1"/>
  <c r="BM32" i="6" s="1"/>
  <c r="AN20" i="6"/>
  <c r="AN21" i="6"/>
  <c r="AO22" i="6"/>
  <c r="AT25" i="6" a="1"/>
  <c r="AT25" i="6" s="1"/>
  <c r="AJ25" i="6" s="1"/>
  <c r="BM49" i="6" s="1"/>
  <c r="AR25" i="6" a="1"/>
  <c r="AR25" i="6" s="1"/>
  <c r="AH25" i="6" s="1"/>
  <c r="BM47" i="6" s="1"/>
  <c r="AM25" i="6"/>
  <c r="AP25" i="6"/>
  <c r="AN25" i="6"/>
  <c r="AS25" i="6" a="1"/>
  <c r="AS25" i="6" s="1"/>
  <c r="AI25" i="6" s="1"/>
  <c r="BM48" i="6" s="1"/>
  <c r="CV23" i="6"/>
  <c r="AO41" i="6"/>
  <c r="BH25" i="6"/>
  <c r="CR23" i="6"/>
  <c r="CS23" i="6" s="1"/>
  <c r="CN23" i="6"/>
  <c r="CO23" i="6" s="1"/>
  <c r="AU25" i="6" a="1"/>
  <c r="AU25" i="6" s="1"/>
  <c r="AK25" i="6" s="1"/>
  <c r="BM50" i="6" s="1"/>
  <c r="AL20" i="6"/>
  <c r="AL21" i="6"/>
  <c r="AT22" i="6" a="1"/>
  <c r="AT22" i="6" s="1"/>
  <c r="AJ22" i="6" s="1"/>
  <c r="BM37" i="6" s="1"/>
  <c r="AR22" i="6" a="1"/>
  <c r="AR22" i="6" s="1"/>
  <c r="AH22" i="6" s="1"/>
  <c r="BM35" i="6" s="1"/>
  <c r="AM22" i="6"/>
  <c r="AL22" i="6"/>
  <c r="AO28" i="6"/>
  <c r="AS28" i="6" a="1"/>
  <c r="AS28" i="6" s="1"/>
  <c r="AI28" i="6" s="1"/>
  <c r="BM60" i="6" s="1"/>
  <c r="AU28" i="6" a="1"/>
  <c r="AU28" i="6" s="1"/>
  <c r="AK28" i="6" s="1"/>
  <c r="BM62" i="6" s="1"/>
  <c r="AT29" i="6" a="1"/>
  <c r="AT29" i="6" s="1"/>
  <c r="AJ29" i="6" s="1"/>
  <c r="BM65" i="6" s="1"/>
  <c r="AP30" i="6"/>
  <c r="AO31" i="6"/>
  <c r="AS31" i="6" a="1"/>
  <c r="AS31" i="6" s="1"/>
  <c r="AI31" i="6" s="1"/>
  <c r="BM72" i="6" s="1"/>
  <c r="AU31" i="6" a="1"/>
  <c r="AU31" i="6" s="1"/>
  <c r="AK31" i="6" s="1"/>
  <c r="BM74" i="6" s="1"/>
  <c r="AN32" i="6"/>
  <c r="AP33" i="6"/>
  <c r="AO34" i="6"/>
  <c r="AS34" i="6" a="1"/>
  <c r="AS34" i="6" s="1"/>
  <c r="AI34" i="6" s="1"/>
  <c r="BM84" i="6" s="1"/>
  <c r="AU34" i="6" a="1"/>
  <c r="AU34" i="6" s="1"/>
  <c r="AK34" i="6" s="1"/>
  <c r="BM86" i="6" s="1"/>
  <c r="AR35" i="6" a="1"/>
  <c r="AR35" i="6" s="1"/>
  <c r="AH35" i="6" s="1"/>
  <c r="BM87" i="6" s="1"/>
  <c r="AO38" i="6"/>
  <c r="AT38" i="6" a="1"/>
  <c r="AT38" i="6" s="1"/>
  <c r="AJ38" i="6" s="1"/>
  <c r="BM101" i="6" s="1"/>
  <c r="AO32" i="6"/>
  <c r="AS32" i="6" a="1"/>
  <c r="AS32" i="6" s="1"/>
  <c r="AI32" i="6" s="1"/>
  <c r="BM76" i="6" s="1"/>
  <c r="AU32" i="6" a="1"/>
  <c r="AU32" i="6" s="1"/>
  <c r="AK32" i="6" s="1"/>
  <c r="BM78" i="6" s="1"/>
  <c r="AR38" i="6" a="1"/>
  <c r="AR38" i="6" s="1"/>
  <c r="AH38" i="6" s="1"/>
  <c r="BM99" i="6" s="1"/>
  <c r="AO23" i="6"/>
  <c r="AS23" i="6" a="1"/>
  <c r="AS23" i="6" s="1"/>
  <c r="AI23" i="6" s="1"/>
  <c r="BM40" i="6" s="1"/>
  <c r="AU23" i="6" a="1"/>
  <c r="AU23" i="6" s="1"/>
  <c r="AK23" i="6" s="1"/>
  <c r="BM42" i="6" s="1"/>
  <c r="AO26" i="6"/>
  <c r="AS26" i="6" a="1"/>
  <c r="AS26" i="6" s="1"/>
  <c r="AI26" i="6" s="1"/>
  <c r="BM52" i="6" s="1"/>
  <c r="AU26" i="6" a="1"/>
  <c r="AU26" i="6" s="1"/>
  <c r="AK26" i="6" s="1"/>
  <c r="BM54" i="6" s="1"/>
  <c r="AM28" i="6"/>
  <c r="AR28" i="6" a="1"/>
  <c r="AR28" i="6" s="1"/>
  <c r="AH28" i="6" s="1"/>
  <c r="BM59" i="6" s="1"/>
  <c r="AT28" i="6" a="1"/>
  <c r="AT28" i="6" s="1"/>
  <c r="AJ28" i="6" s="1"/>
  <c r="BM61" i="6" s="1"/>
  <c r="AO29" i="6"/>
  <c r="AS29" i="6" a="1"/>
  <c r="AS29" i="6" s="1"/>
  <c r="AI29" i="6" s="1"/>
  <c r="BM64" i="6" s="1"/>
  <c r="AU29" i="6" a="1"/>
  <c r="AU29" i="6" s="1"/>
  <c r="AK29" i="6" s="1"/>
  <c r="BM66" i="6" s="1"/>
  <c r="AN30" i="6"/>
  <c r="AM31" i="6"/>
  <c r="AR31" i="6" a="1"/>
  <c r="AR31" i="6" s="1"/>
  <c r="AH31" i="6" s="1"/>
  <c r="BM71" i="6" s="1"/>
  <c r="AT31" i="6" a="1"/>
  <c r="AT31" i="6" s="1"/>
  <c r="AJ31" i="6" s="1"/>
  <c r="BM73" i="6" s="1"/>
  <c r="AP32" i="6"/>
  <c r="AN33" i="6"/>
  <c r="AM34" i="6"/>
  <c r="AR34" i="6" a="1"/>
  <c r="AR34" i="6" s="1"/>
  <c r="AH34" i="6" s="1"/>
  <c r="BM83" i="6" s="1"/>
  <c r="AT34" i="6" a="1"/>
  <c r="AT34" i="6" s="1"/>
  <c r="AJ34" i="6" s="1"/>
  <c r="BM85" i="6" s="1"/>
  <c r="BH34" i="6"/>
  <c r="AN35" i="6"/>
  <c r="AS35" i="6" a="1"/>
  <c r="AS35" i="6" s="1"/>
  <c r="AI35" i="6" s="1"/>
  <c r="BM88" i="6" s="1"/>
  <c r="AT37" i="6" a="1"/>
  <c r="AT37" i="6" s="1"/>
  <c r="AJ37" i="6" s="1"/>
  <c r="BM97" i="6" s="1"/>
  <c r="AR37" i="6" a="1"/>
  <c r="AR37" i="6" s="1"/>
  <c r="AH37" i="6" s="1"/>
  <c r="BM95" i="6" s="1"/>
  <c r="AM37" i="6"/>
  <c r="AU37" i="6" a="1"/>
  <c r="AU37" i="6" s="1"/>
  <c r="AK37" i="6" s="1"/>
  <c r="BM98" i="6" s="1"/>
  <c r="AM38" i="6"/>
  <c r="AU38" i="6" a="1"/>
  <c r="AU38" i="6" s="1"/>
  <c r="AK38" i="6" s="1"/>
  <c r="BM102" i="6" s="1"/>
  <c r="AO24" i="6"/>
  <c r="AS24" i="6" a="1"/>
  <c r="AS24" i="6" s="1"/>
  <c r="AI24" i="6" s="1"/>
  <c r="BM44" i="6" s="1"/>
  <c r="AO27" i="6"/>
  <c r="AS27" i="6" a="1"/>
  <c r="AS27" i="6" s="1"/>
  <c r="AI27" i="6" s="1"/>
  <c r="BM56" i="6" s="1"/>
  <c r="AO30" i="6"/>
  <c r="AS30" i="6" a="1"/>
  <c r="AS30" i="6" s="1"/>
  <c r="AI30" i="6" s="1"/>
  <c r="BM68" i="6" s="1"/>
  <c r="AM32" i="6"/>
  <c r="AR32" i="6" a="1"/>
  <c r="AR32" i="6" s="1"/>
  <c r="AH32" i="6" s="1"/>
  <c r="BM75" i="6" s="1"/>
  <c r="AO33" i="6"/>
  <c r="AS33" i="6" a="1"/>
  <c r="AS33" i="6" s="1"/>
  <c r="AI33" i="6" s="1"/>
  <c r="BM80" i="6" s="1"/>
  <c r="AO35" i="6"/>
  <c r="AT35" i="6" a="1"/>
  <c r="AT35" i="6" s="1"/>
  <c r="AJ35" i="6" s="1"/>
  <c r="BM89" i="6" s="1"/>
  <c r="AN37" i="6"/>
  <c r="AS37" i="6" a="1"/>
  <c r="AS37" i="6" s="1"/>
  <c r="AI37" i="6" s="1"/>
  <c r="BM96" i="6" s="1"/>
  <c r="AN38" i="6"/>
  <c r="AS38" i="6" a="1"/>
  <c r="AS38" i="6" s="1"/>
  <c r="AI38" i="6" s="1"/>
  <c r="BM100" i="6" s="1"/>
  <c r="BH38" i="6"/>
  <c r="BH56" i="6"/>
  <c r="BH57" i="6"/>
  <c r="BH62" i="6"/>
  <c r="BH72" i="6"/>
  <c r="BH73" i="6"/>
  <c r="BH97" i="6"/>
  <c r="BH99" i="6"/>
  <c r="BH100" i="6"/>
  <c r="BH60" i="6"/>
  <c r="BH82" i="6"/>
  <c r="BH101" i="6"/>
  <c r="BH103" i="6"/>
  <c r="BH104" i="6"/>
  <c r="BH54" i="6"/>
  <c r="BH70" i="6"/>
  <c r="BH80" i="6"/>
  <c r="BH89" i="6"/>
  <c r="BH91" i="6"/>
  <c r="BH92" i="6"/>
  <c r="BH105" i="6"/>
  <c r="AO36" i="6"/>
  <c r="AS36" i="6" a="1"/>
  <c r="AS36" i="6" s="1"/>
  <c r="AI36" i="6" s="1"/>
  <c r="BM92" i="6" s="1"/>
  <c r="AO39" i="6"/>
  <c r="AS39" i="6" a="1"/>
  <c r="AS39" i="6" s="1"/>
  <c r="AI39" i="6" s="1"/>
  <c r="BM104" i="6" s="1"/>
  <c r="BH52" i="6"/>
  <c r="BH68" i="6"/>
  <c r="BH93" i="6"/>
  <c r="BN29" i="6" l="1"/>
  <c r="BN30" i="6" s="1"/>
  <c r="BN31" i="6" s="1"/>
  <c r="BN32" i="6" s="1"/>
  <c r="BN33" i="6" s="1"/>
  <c r="BN34" i="6" s="1"/>
  <c r="BN35" i="6" s="1"/>
  <c r="BN36" i="6" s="1"/>
  <c r="BN37" i="6" s="1"/>
  <c r="BN38" i="6" s="1"/>
  <c r="BN39" i="6" s="1"/>
  <c r="BN40" i="6" s="1"/>
  <c r="BN41" i="6" s="1"/>
  <c r="BN42" i="6" s="1"/>
  <c r="BN43" i="6" s="1"/>
  <c r="BN44" i="6" s="1"/>
  <c r="BN45" i="6" s="1"/>
  <c r="BN46" i="6" s="1"/>
  <c r="BN47" i="6" s="1"/>
  <c r="BN48" i="6" s="1"/>
  <c r="BN49" i="6" s="1"/>
  <c r="BN50" i="6" s="1"/>
  <c r="BN51" i="6" s="1"/>
  <c r="BN52" i="6" s="1"/>
  <c r="BN53" i="6" s="1"/>
  <c r="BN54" i="6" s="1"/>
  <c r="BN55" i="6" s="1"/>
  <c r="BN56" i="6" s="1"/>
  <c r="BN57" i="6" s="1"/>
  <c r="BN58" i="6" s="1"/>
  <c r="BN59" i="6" s="1"/>
  <c r="BN60" i="6" s="1"/>
  <c r="BN61" i="6" s="1"/>
  <c r="BN62" i="6" s="1"/>
  <c r="BN63" i="6" s="1"/>
  <c r="BN64" i="6" s="1"/>
  <c r="BN65" i="6" s="1"/>
  <c r="BN66" i="6" s="1"/>
  <c r="BN67" i="6" s="1"/>
  <c r="BN68" i="6" s="1"/>
  <c r="BN69" i="6" s="1"/>
  <c r="BN70" i="6" s="1"/>
  <c r="BN71" i="6" s="1"/>
  <c r="BN72" i="6" s="1"/>
  <c r="BN73" i="6" s="1"/>
  <c r="BN74" i="6" s="1"/>
  <c r="BN75" i="6" s="1"/>
  <c r="BN76" i="6" s="1"/>
  <c r="BN77" i="6" s="1"/>
  <c r="BN78" i="6" s="1"/>
  <c r="BN79" i="6" s="1"/>
  <c r="BN80" i="6" s="1"/>
  <c r="BN81" i="6" s="1"/>
  <c r="BN82" i="6" s="1"/>
  <c r="BN83" i="6" s="1"/>
  <c r="BN84" i="6" s="1"/>
  <c r="BN85" i="6" s="1"/>
  <c r="BN86" i="6" s="1"/>
  <c r="BN87" i="6" s="1"/>
  <c r="BN88" i="6" s="1"/>
  <c r="BN89" i="6" s="1"/>
  <c r="BN90" i="6" s="1"/>
  <c r="BN91" i="6" s="1"/>
  <c r="BN92" i="6" s="1"/>
  <c r="BN93" i="6" s="1"/>
  <c r="BN94" i="6" s="1"/>
  <c r="BN95" i="6" s="1"/>
  <c r="BN96" i="6" s="1"/>
  <c r="BN97" i="6" s="1"/>
  <c r="BN98" i="6" s="1"/>
  <c r="BN99" i="6" s="1"/>
  <c r="BN100" i="6" s="1"/>
  <c r="BN101" i="6" s="1"/>
  <c r="BN102" i="6" s="1"/>
  <c r="BN103" i="6" s="1"/>
  <c r="BN104" i="6" s="1"/>
  <c r="BN105" i="6" s="1"/>
  <c r="BN106" i="6" s="1"/>
  <c r="AO40" i="6"/>
  <c r="AS18" i="6" s="1"/>
  <c r="CX23" i="6" s="1"/>
  <c r="AE112" i="1" l="1"/>
  <c r="AE111" i="1"/>
  <c r="AE110" i="1"/>
  <c r="AE109" i="1"/>
  <c r="AE108" i="1"/>
  <c r="AE107" i="1"/>
  <c r="AE106" i="1"/>
  <c r="AE105" i="1"/>
  <c r="AE104" i="1"/>
  <c r="AE103" i="1"/>
  <c r="AE102" i="1"/>
  <c r="AE101" i="1"/>
  <c r="AE100" i="1"/>
  <c r="AE99" i="1"/>
  <c r="AE98" i="1"/>
  <c r="AE97" i="1"/>
  <c r="AE96" i="1"/>
  <c r="AE95" i="1"/>
  <c r="AE94" i="1"/>
  <c r="AE93" i="1"/>
  <c r="AD88" i="1"/>
  <c r="AC88" i="1"/>
  <c r="AB88" i="1"/>
  <c r="AA88" i="1"/>
  <c r="Z88" i="1"/>
  <c r="Y88" i="1"/>
  <c r="P88" i="1"/>
  <c r="Q88" i="1" s="1"/>
  <c r="O88" i="1"/>
  <c r="N88" i="1"/>
  <c r="AD87" i="1"/>
  <c r="AC87" i="1"/>
  <c r="AB87" i="1"/>
  <c r="AA87" i="1"/>
  <c r="Z87" i="1"/>
  <c r="Y87" i="1"/>
  <c r="P87" i="1"/>
  <c r="Q87" i="1" s="1"/>
  <c r="O87" i="1"/>
  <c r="N87" i="1"/>
  <c r="AD86" i="1"/>
  <c r="AC86" i="1"/>
  <c r="AB86" i="1"/>
  <c r="AA86" i="1"/>
  <c r="Z86" i="1"/>
  <c r="Y86" i="1"/>
  <c r="P86" i="1"/>
  <c r="Q86" i="1" s="1"/>
  <c r="O86" i="1"/>
  <c r="N86" i="1"/>
  <c r="AD85" i="1"/>
  <c r="AC85" i="1"/>
  <c r="AB85" i="1"/>
  <c r="AA85" i="1"/>
  <c r="Z85" i="1"/>
  <c r="Y85" i="1"/>
  <c r="P85" i="1"/>
  <c r="Q85" i="1" s="1"/>
  <c r="O85" i="1"/>
  <c r="N85" i="1"/>
  <c r="AD84" i="1"/>
  <c r="AC84" i="1"/>
  <c r="AB84" i="1"/>
  <c r="AA84" i="1"/>
  <c r="Z84" i="1"/>
  <c r="Y84" i="1"/>
  <c r="P84" i="1"/>
  <c r="Q84" i="1" s="1"/>
  <c r="O84" i="1"/>
  <c r="N84" i="1"/>
  <c r="AD83" i="1"/>
  <c r="AC83" i="1"/>
  <c r="AB83" i="1"/>
  <c r="AA83" i="1"/>
  <c r="Z83" i="1"/>
  <c r="Y83" i="1"/>
  <c r="P83" i="1"/>
  <c r="Q83" i="1" s="1"/>
  <c r="O83" i="1"/>
  <c r="N83" i="1"/>
  <c r="AD82" i="1"/>
  <c r="AC82" i="1"/>
  <c r="AB82" i="1"/>
  <c r="AA82" i="1"/>
  <c r="Z82" i="1"/>
  <c r="Y82" i="1"/>
  <c r="P82" i="1"/>
  <c r="Q82" i="1" s="1"/>
  <c r="O82" i="1"/>
  <c r="N82" i="1"/>
  <c r="AD81" i="1"/>
  <c r="AC81" i="1"/>
  <c r="AB81" i="1"/>
  <c r="AA81" i="1"/>
  <c r="Z81" i="1"/>
  <c r="Y81" i="1"/>
  <c r="P81" i="1"/>
  <c r="Q81" i="1" s="1"/>
  <c r="O81" i="1"/>
  <c r="N81" i="1"/>
  <c r="AD80" i="1"/>
  <c r="AC80" i="1"/>
  <c r="AB80" i="1"/>
  <c r="AA80" i="1"/>
  <c r="Z80" i="1"/>
  <c r="Y80" i="1"/>
  <c r="Q80" i="1"/>
  <c r="P80" i="1"/>
  <c r="O80" i="1"/>
  <c r="N80" i="1"/>
  <c r="AD79" i="1"/>
  <c r="AC79" i="1"/>
  <c r="AB79" i="1"/>
  <c r="AA79" i="1"/>
  <c r="Z79" i="1"/>
  <c r="Y79" i="1"/>
  <c r="P79" i="1"/>
  <c r="Q79" i="1" s="1"/>
  <c r="O79" i="1"/>
  <c r="N79" i="1"/>
  <c r="AD78" i="1"/>
  <c r="AC78" i="1"/>
  <c r="AB78" i="1"/>
  <c r="AA78" i="1"/>
  <c r="Z78" i="1"/>
  <c r="Y78" i="1"/>
  <c r="P78" i="1"/>
  <c r="Q78" i="1" s="1"/>
  <c r="O78" i="1"/>
  <c r="N78" i="1"/>
  <c r="AD77" i="1"/>
  <c r="AC77" i="1"/>
  <c r="AB77" i="1"/>
  <c r="AA77" i="1"/>
  <c r="Z77" i="1"/>
  <c r="Y77" i="1"/>
  <c r="P77" i="1"/>
  <c r="Q77" i="1" s="1"/>
  <c r="O77" i="1"/>
  <c r="N77" i="1"/>
  <c r="AD76" i="1"/>
  <c r="AC76" i="1"/>
  <c r="AB76" i="1"/>
  <c r="AA76" i="1"/>
  <c r="Z76" i="1"/>
  <c r="Y76" i="1"/>
  <c r="P76" i="1"/>
  <c r="Q76" i="1" s="1"/>
  <c r="O76" i="1"/>
  <c r="N76" i="1"/>
  <c r="AD75" i="1"/>
  <c r="AC75" i="1"/>
  <c r="AB75" i="1"/>
  <c r="AA75" i="1"/>
  <c r="Z75" i="1"/>
  <c r="Y75" i="1"/>
  <c r="P75" i="1"/>
  <c r="Q75" i="1" s="1"/>
  <c r="O75" i="1"/>
  <c r="N75" i="1"/>
  <c r="AD74" i="1"/>
  <c r="AC74" i="1"/>
  <c r="AB74" i="1"/>
  <c r="AA74" i="1"/>
  <c r="Z74" i="1"/>
  <c r="Y74" i="1"/>
  <c r="P74" i="1"/>
  <c r="Q74" i="1" s="1"/>
  <c r="O74" i="1"/>
  <c r="N74" i="1"/>
  <c r="AD73" i="1"/>
  <c r="AC73" i="1"/>
  <c r="AB73" i="1"/>
  <c r="AA73" i="1"/>
  <c r="Z73" i="1"/>
  <c r="Y73" i="1"/>
  <c r="P73" i="1"/>
  <c r="Q73" i="1" s="1"/>
  <c r="O73" i="1"/>
  <c r="N73" i="1"/>
  <c r="AD72" i="1"/>
  <c r="AC72" i="1"/>
  <c r="AB72" i="1"/>
  <c r="AA72" i="1"/>
  <c r="Z72" i="1"/>
  <c r="Y72" i="1"/>
  <c r="P72" i="1"/>
  <c r="Q72" i="1" s="1"/>
  <c r="O72" i="1"/>
  <c r="N72" i="1"/>
  <c r="AD71" i="1"/>
  <c r="AC71" i="1"/>
  <c r="AB71" i="1"/>
  <c r="AA71" i="1"/>
  <c r="Z71" i="1"/>
  <c r="Y71" i="1"/>
  <c r="P71" i="1"/>
  <c r="Q71" i="1" s="1"/>
  <c r="O71" i="1"/>
  <c r="N71" i="1"/>
  <c r="AD70" i="1"/>
  <c r="AC70" i="1"/>
  <c r="AB70" i="1"/>
  <c r="AA70" i="1"/>
  <c r="Z70" i="1"/>
  <c r="Y70" i="1"/>
  <c r="P70" i="1"/>
  <c r="Q70" i="1" s="1"/>
  <c r="O70" i="1"/>
  <c r="N70" i="1"/>
  <c r="AD69" i="1"/>
  <c r="AC69" i="1"/>
  <c r="AB69" i="1"/>
  <c r="AA69" i="1"/>
  <c r="Z69" i="1"/>
  <c r="Y69" i="1"/>
  <c r="P69" i="1"/>
  <c r="Q69" i="1" s="1"/>
  <c r="O69" i="1"/>
  <c r="N69" i="1"/>
  <c r="AD68" i="1"/>
  <c r="AC68" i="1"/>
  <c r="AB68" i="1"/>
  <c r="AA68" i="1"/>
  <c r="Z68" i="1"/>
  <c r="Y68" i="1"/>
  <c r="P68" i="1"/>
  <c r="Q68" i="1" s="1"/>
  <c r="O68" i="1"/>
  <c r="N68" i="1"/>
  <c r="AD67" i="1"/>
  <c r="AC67" i="1"/>
  <c r="AB67" i="1"/>
  <c r="AA67" i="1"/>
  <c r="Z67" i="1"/>
  <c r="Y67" i="1"/>
  <c r="P67" i="1"/>
  <c r="Q67" i="1" s="1"/>
  <c r="O67" i="1"/>
  <c r="N67" i="1"/>
  <c r="AD66" i="1"/>
  <c r="AC66" i="1"/>
  <c r="AB66" i="1"/>
  <c r="AA66" i="1"/>
  <c r="Z66" i="1"/>
  <c r="Y66" i="1"/>
  <c r="P66" i="1"/>
  <c r="Q66" i="1" s="1"/>
  <c r="O66" i="1"/>
  <c r="N66" i="1"/>
  <c r="AD65" i="1"/>
  <c r="AC65" i="1"/>
  <c r="AB65" i="1"/>
  <c r="AA65" i="1"/>
  <c r="Z65" i="1"/>
  <c r="Y65" i="1"/>
  <c r="P65" i="1"/>
  <c r="Q65" i="1" s="1"/>
  <c r="O65" i="1"/>
  <c r="N65" i="1"/>
  <c r="AD64" i="1"/>
  <c r="AC64" i="1"/>
  <c r="AB64" i="1"/>
  <c r="AA64" i="1"/>
  <c r="Z64" i="1"/>
  <c r="Y64" i="1"/>
  <c r="P64" i="1"/>
  <c r="O64" i="1"/>
  <c r="N64" i="1"/>
  <c r="AD63" i="1"/>
  <c r="AC63" i="1"/>
  <c r="AB63" i="1"/>
  <c r="AA63" i="1"/>
  <c r="Z63" i="1"/>
  <c r="Y63" i="1"/>
  <c r="P63" i="1"/>
  <c r="O63" i="1"/>
  <c r="N63" i="1"/>
  <c r="AD62" i="1"/>
  <c r="AC62" i="1"/>
  <c r="AB62" i="1"/>
  <c r="AA62" i="1"/>
  <c r="Z62" i="1"/>
  <c r="Y62" i="1"/>
  <c r="P62" i="1"/>
  <c r="O62" i="1"/>
  <c r="N62" i="1"/>
  <c r="AD61" i="1"/>
  <c r="AC61" i="1"/>
  <c r="AB61" i="1"/>
  <c r="AA61" i="1"/>
  <c r="Z61" i="1"/>
  <c r="Y61" i="1"/>
  <c r="P61" i="1"/>
  <c r="O61" i="1"/>
  <c r="N61" i="1"/>
  <c r="AD60" i="1"/>
  <c r="AC60" i="1"/>
  <c r="AB60" i="1"/>
  <c r="AA60" i="1"/>
  <c r="Z60" i="1"/>
  <c r="Y60" i="1"/>
  <c r="P60" i="1"/>
  <c r="O60" i="1"/>
  <c r="N60" i="1"/>
  <c r="AD59" i="1"/>
  <c r="AC59" i="1"/>
  <c r="AB59" i="1"/>
  <c r="AA59" i="1"/>
  <c r="Z59" i="1"/>
  <c r="Y59" i="1"/>
  <c r="P59" i="1"/>
  <c r="O59" i="1"/>
  <c r="N59" i="1"/>
  <c r="AD58" i="1"/>
  <c r="AC58" i="1"/>
  <c r="AB58" i="1"/>
  <c r="AA58" i="1"/>
  <c r="Z58" i="1"/>
  <c r="Y58" i="1"/>
  <c r="P58" i="1"/>
  <c r="O58" i="1"/>
  <c r="N58" i="1"/>
  <c r="AD57" i="1"/>
  <c r="AC57" i="1"/>
  <c r="AB57" i="1"/>
  <c r="AA57" i="1"/>
  <c r="Z57" i="1"/>
  <c r="Y57" i="1"/>
  <c r="P57" i="1"/>
  <c r="O57" i="1"/>
  <c r="N57" i="1"/>
  <c r="AD56" i="1"/>
  <c r="AC56" i="1"/>
  <c r="AB56" i="1"/>
  <c r="AA56" i="1"/>
  <c r="Z56" i="1"/>
  <c r="Y56" i="1"/>
  <c r="P56" i="1"/>
  <c r="O56" i="1"/>
  <c r="N56" i="1"/>
  <c r="AD55" i="1"/>
  <c r="AC55" i="1"/>
  <c r="AB55" i="1"/>
  <c r="AA55" i="1"/>
  <c r="Z55" i="1"/>
  <c r="Y55" i="1"/>
  <c r="P55" i="1"/>
  <c r="O55" i="1"/>
  <c r="N55" i="1"/>
  <c r="L55" i="1"/>
  <c r="AD54" i="1"/>
  <c r="AC54" i="1"/>
  <c r="AB54" i="1"/>
  <c r="AA54" i="1"/>
  <c r="Z54" i="1"/>
  <c r="Y54" i="1"/>
  <c r="P54" i="1"/>
  <c r="O54" i="1"/>
  <c r="N54" i="1"/>
  <c r="L54" i="1"/>
  <c r="AD53" i="1"/>
  <c r="AC53" i="1"/>
  <c r="AB53" i="1"/>
  <c r="AA53" i="1"/>
  <c r="Z53" i="1"/>
  <c r="Y53" i="1"/>
  <c r="P53" i="1"/>
  <c r="O53" i="1"/>
  <c r="N53" i="1"/>
  <c r="AD52" i="1"/>
  <c r="AC52" i="1"/>
  <c r="AB52" i="1"/>
  <c r="AA52" i="1"/>
  <c r="Z52" i="1"/>
  <c r="Y52" i="1"/>
  <c r="P52" i="1"/>
  <c r="O52" i="1"/>
  <c r="N52" i="1"/>
  <c r="AD51" i="1"/>
  <c r="AC51" i="1"/>
  <c r="AB51" i="1"/>
  <c r="AA51" i="1"/>
  <c r="Z51" i="1"/>
  <c r="Y51" i="1"/>
  <c r="P51" i="1"/>
  <c r="O51" i="1"/>
  <c r="N51" i="1"/>
  <c r="AD50" i="1"/>
  <c r="AC50" i="1"/>
  <c r="AB50" i="1"/>
  <c r="AA50" i="1"/>
  <c r="Z50" i="1"/>
  <c r="Y50" i="1"/>
  <c r="P50" i="1"/>
  <c r="O50" i="1"/>
  <c r="N50" i="1"/>
  <c r="AD49" i="1"/>
  <c r="AC49" i="1"/>
  <c r="AB49" i="1"/>
  <c r="AA49" i="1"/>
  <c r="Z49" i="1"/>
  <c r="Y49" i="1"/>
  <c r="P49" i="1"/>
  <c r="O49" i="1"/>
  <c r="N49" i="1"/>
  <c r="AD48" i="1"/>
  <c r="AC48" i="1"/>
  <c r="AB48" i="1"/>
  <c r="AA48" i="1"/>
  <c r="Z48" i="1"/>
  <c r="Y48" i="1"/>
  <c r="P48" i="1"/>
  <c r="O48" i="1"/>
  <c r="N48" i="1"/>
  <c r="AD47" i="1"/>
  <c r="AC47" i="1"/>
  <c r="AB47" i="1"/>
  <c r="AA47" i="1"/>
  <c r="Z47" i="1"/>
  <c r="Y47" i="1"/>
  <c r="P47" i="1"/>
  <c r="O47" i="1"/>
  <c r="N47" i="1"/>
  <c r="AD46" i="1"/>
  <c r="AC46" i="1"/>
  <c r="AB46" i="1"/>
  <c r="AA46" i="1"/>
  <c r="Z46" i="1"/>
  <c r="Y46" i="1"/>
  <c r="P46" i="1"/>
  <c r="O46" i="1"/>
  <c r="N46" i="1"/>
  <c r="AD45" i="1"/>
  <c r="AC45" i="1"/>
  <c r="AB45" i="1"/>
  <c r="AA45" i="1"/>
  <c r="Z45" i="1"/>
  <c r="Y45" i="1"/>
  <c r="P45" i="1"/>
  <c r="O45" i="1"/>
  <c r="N45" i="1"/>
  <c r="AD44" i="1"/>
  <c r="AC44" i="1"/>
  <c r="AB44" i="1"/>
  <c r="AA44" i="1"/>
  <c r="Z44" i="1"/>
  <c r="Y44" i="1"/>
  <c r="P44" i="1"/>
  <c r="O44" i="1"/>
  <c r="N44" i="1"/>
  <c r="D44" i="1"/>
  <c r="AD43" i="1"/>
  <c r="AC43" i="1"/>
  <c r="AB43" i="1"/>
  <c r="AA43" i="1"/>
  <c r="Z43" i="1"/>
  <c r="Y43" i="1"/>
  <c r="P43" i="1"/>
  <c r="O43" i="1"/>
  <c r="N43" i="1"/>
  <c r="D43" i="1"/>
  <c r="Z42" i="1"/>
  <c r="Y42" i="1"/>
  <c r="P42" i="1"/>
  <c r="Q42" i="1" s="1"/>
  <c r="O42" i="1"/>
  <c r="N42" i="1"/>
  <c r="AD41" i="1"/>
  <c r="Y41" i="1"/>
  <c r="P41" i="1"/>
  <c r="Q41" i="1" s="1"/>
  <c r="O41" i="1"/>
  <c r="N41" i="1"/>
  <c r="Y40" i="1"/>
  <c r="P40" i="1"/>
  <c r="Q40" i="1" s="1"/>
  <c r="O40" i="1"/>
  <c r="N40" i="1"/>
  <c r="AC39" i="1"/>
  <c r="AB39" i="1"/>
  <c r="AA39" i="1"/>
  <c r="Z39" i="1"/>
  <c r="Y39" i="1"/>
  <c r="P39" i="1"/>
  <c r="Q39" i="1" s="1"/>
  <c r="O39" i="1"/>
  <c r="N39" i="1"/>
  <c r="AD38" i="1"/>
  <c r="AC38" i="1"/>
  <c r="AB38" i="1"/>
  <c r="AA38" i="1"/>
  <c r="Z38" i="1"/>
  <c r="Y38" i="1"/>
  <c r="P38" i="1"/>
  <c r="O38" i="1"/>
  <c r="N38" i="1"/>
  <c r="L38" i="1"/>
  <c r="AD37" i="1"/>
  <c r="AC37" i="1"/>
  <c r="AB37" i="1"/>
  <c r="AA37" i="1"/>
  <c r="Z37" i="1"/>
  <c r="Y37" i="1"/>
  <c r="P37" i="1"/>
  <c r="Q37" i="1" s="1"/>
  <c r="O37" i="1"/>
  <c r="L37" i="1"/>
  <c r="AD36" i="1"/>
  <c r="AC36" i="1"/>
  <c r="AB36" i="1"/>
  <c r="AA36" i="1"/>
  <c r="Z36" i="1"/>
  <c r="Y36" i="1"/>
  <c r="P36" i="1"/>
  <c r="Q36" i="1" s="1"/>
  <c r="O36" i="1"/>
  <c r="L36" i="1"/>
  <c r="AD35" i="1"/>
  <c r="AC35" i="1"/>
  <c r="AB35" i="1"/>
  <c r="AA35" i="1"/>
  <c r="Z35" i="1"/>
  <c r="Y35" i="1"/>
  <c r="P35" i="1"/>
  <c r="Q35" i="1" s="1"/>
  <c r="O35" i="1"/>
  <c r="L35" i="1"/>
  <c r="AD34" i="1"/>
  <c r="AC34" i="1"/>
  <c r="AB34" i="1"/>
  <c r="AA34" i="1"/>
  <c r="Z34" i="1"/>
  <c r="Y34" i="1"/>
  <c r="P34" i="1"/>
  <c r="Q34" i="1" s="1"/>
  <c r="O34" i="1"/>
  <c r="L34" i="1"/>
  <c r="AD33" i="1"/>
  <c r="AC33" i="1"/>
  <c r="AB33" i="1"/>
  <c r="AA33" i="1"/>
  <c r="Z33" i="1"/>
  <c r="Y33" i="1"/>
  <c r="P33" i="1"/>
  <c r="Q33" i="1" s="1"/>
  <c r="O33" i="1"/>
  <c r="L33" i="1"/>
  <c r="AD32" i="1"/>
  <c r="AC32" i="1"/>
  <c r="AB32" i="1"/>
  <c r="AA32" i="1"/>
  <c r="Z32" i="1"/>
  <c r="Y32" i="1"/>
  <c r="P32" i="1"/>
  <c r="Q32" i="1" s="1"/>
  <c r="O32" i="1"/>
  <c r="L32" i="1"/>
  <c r="AD31" i="1"/>
  <c r="AC31" i="1"/>
  <c r="AB31" i="1"/>
  <c r="AA31" i="1"/>
  <c r="Z31" i="1"/>
  <c r="Y31" i="1"/>
  <c r="P31" i="1"/>
  <c r="Q31" i="1" s="1"/>
  <c r="O31" i="1"/>
  <c r="L31" i="1"/>
  <c r="AD30" i="1"/>
  <c r="AC30" i="1"/>
  <c r="AB30" i="1"/>
  <c r="AA30" i="1"/>
  <c r="Z30" i="1"/>
  <c r="Y30" i="1"/>
  <c r="P30" i="1"/>
  <c r="Q30" i="1" s="1"/>
  <c r="O30" i="1"/>
  <c r="L30" i="1"/>
  <c r="AD29" i="1"/>
  <c r="AC29" i="1"/>
  <c r="AB29" i="1"/>
  <c r="AA29" i="1"/>
  <c r="Z29" i="1"/>
  <c r="Y29" i="1"/>
  <c r="P29" i="1"/>
  <c r="Q29" i="1" s="1"/>
  <c r="O29" i="1"/>
  <c r="L29" i="1"/>
  <c r="AD28" i="1"/>
  <c r="AC28" i="1"/>
  <c r="AB28" i="1"/>
  <c r="AA28" i="1"/>
  <c r="Z28" i="1"/>
  <c r="Y28" i="1"/>
  <c r="P28" i="1"/>
  <c r="Q28" i="1" s="1"/>
  <c r="O28" i="1"/>
  <c r="L28" i="1"/>
  <c r="AI27" i="1"/>
  <c r="AD27" i="1"/>
  <c r="AC27" i="1"/>
  <c r="AB27" i="1"/>
  <c r="AA27" i="1"/>
  <c r="Z27" i="1"/>
  <c r="Y27" i="1"/>
  <c r="P27" i="1"/>
  <c r="Q27" i="1" s="1"/>
  <c r="O27" i="1"/>
  <c r="L27" i="1"/>
  <c r="AD26" i="1"/>
  <c r="AC26" i="1"/>
  <c r="AB26" i="1"/>
  <c r="AA26" i="1"/>
  <c r="Z26" i="1"/>
  <c r="Y26" i="1"/>
  <c r="P26" i="1"/>
  <c r="Q26" i="1" s="1"/>
  <c r="O26" i="1"/>
  <c r="L26" i="1"/>
  <c r="AD25" i="1"/>
  <c r="AC25" i="1"/>
  <c r="AB25" i="1"/>
  <c r="AA25" i="1"/>
  <c r="Z25" i="1"/>
  <c r="Y25" i="1"/>
  <c r="P25" i="1"/>
  <c r="Q25" i="1" s="1"/>
  <c r="O25" i="1"/>
  <c r="L25" i="1"/>
  <c r="AD24" i="1"/>
  <c r="AC24" i="1"/>
  <c r="AB24" i="1"/>
  <c r="AA24" i="1"/>
  <c r="Z24" i="1"/>
  <c r="Y24" i="1"/>
  <c r="P24" i="1"/>
  <c r="Q24" i="1" s="1"/>
  <c r="O24" i="1"/>
  <c r="L24" i="1"/>
  <c r="AD23" i="1"/>
  <c r="AC23" i="1"/>
  <c r="AB23" i="1"/>
  <c r="AA23" i="1"/>
  <c r="Z23" i="1"/>
  <c r="Y23" i="1"/>
  <c r="P23" i="1"/>
  <c r="Q23" i="1" s="1"/>
  <c r="O23" i="1"/>
  <c r="L23" i="1"/>
  <c r="Y22" i="1"/>
  <c r="W22" i="1"/>
  <c r="V22" i="1"/>
  <c r="U22" i="1"/>
  <c r="T22" i="1"/>
  <c r="S22" i="1"/>
  <c r="R22" i="1"/>
  <c r="L22" i="1"/>
  <c r="AD21" i="1"/>
  <c r="AC21" i="1"/>
  <c r="AB21" i="1"/>
  <c r="AA21" i="1"/>
  <c r="Z21" i="1"/>
  <c r="Y21" i="1"/>
  <c r="AA42" i="1" s="1"/>
  <c r="AA22" i="1" s="1"/>
  <c r="N19" i="1"/>
  <c r="F19" i="1"/>
  <c r="AN23" i="1" s="1"/>
  <c r="AI18" i="1"/>
  <c r="N17" i="1"/>
  <c r="C16" i="1"/>
  <c r="L15" i="1"/>
  <c r="AH14" i="1"/>
  <c r="O11" i="1"/>
  <c r="AE75" i="1" l="1"/>
  <c r="AE88" i="1"/>
  <c r="AG18" i="1" a="1"/>
  <c r="AG18" i="1" s="1"/>
  <c r="AE54" i="1"/>
  <c r="AE81" i="1"/>
  <c r="AE83" i="1"/>
  <c r="AE31" i="1"/>
  <c r="AE28" i="1"/>
  <c r="AE67" i="1"/>
  <c r="AE71" i="1"/>
  <c r="AE84" i="1"/>
  <c r="AE85" i="1"/>
  <c r="AE86" i="1"/>
  <c r="AE27" i="1"/>
  <c r="AE33" i="1"/>
  <c r="AE24" i="1"/>
  <c r="AE30" i="1"/>
  <c r="AE32" i="1"/>
  <c r="AE34" i="1"/>
  <c r="AE35" i="1"/>
  <c r="AE37" i="1"/>
  <c r="AE43" i="1"/>
  <c r="AE46" i="1"/>
  <c r="AE50" i="1"/>
  <c r="AE55" i="1"/>
  <c r="AE56" i="1"/>
  <c r="AE57" i="1"/>
  <c r="AE59" i="1"/>
  <c r="AE60" i="1"/>
  <c r="AE63" i="1"/>
  <c r="AE64" i="1"/>
  <c r="AE66" i="1"/>
  <c r="AE79" i="1"/>
  <c r="AE29" i="1"/>
  <c r="AE38" i="1"/>
  <c r="AE47" i="1"/>
  <c r="AE51" i="1"/>
  <c r="AE61" i="1"/>
  <c r="AE62" i="1"/>
  <c r="AE73" i="1"/>
  <c r="AE76" i="1"/>
  <c r="AE77" i="1"/>
  <c r="AE78" i="1"/>
  <c r="AE80" i="1"/>
  <c r="AE82" i="1"/>
  <c r="AE23" i="1"/>
  <c r="AE25" i="1"/>
  <c r="AE26" i="1"/>
  <c r="AE36" i="1"/>
  <c r="AE44" i="1"/>
  <c r="AE45" i="1"/>
  <c r="AE48" i="1"/>
  <c r="AE49" i="1"/>
  <c r="AE52" i="1"/>
  <c r="AE53" i="1"/>
  <c r="AE58" i="1"/>
  <c r="AE65" i="1"/>
  <c r="AE68" i="1"/>
  <c r="AE69" i="1"/>
  <c r="AE70" i="1"/>
  <c r="AE72" i="1"/>
  <c r="AE74" i="1"/>
  <c r="AE87" i="1"/>
  <c r="AO23" i="1"/>
  <c r="AD40" i="1"/>
  <c r="AC41" i="1"/>
  <c r="AB42" i="1"/>
  <c r="AB22" i="1" s="1"/>
  <c r="AC42" i="1"/>
  <c r="AC22" i="1" s="1"/>
  <c r="AD42" i="1"/>
  <c r="D19" i="1"/>
  <c r="AJ23" i="1"/>
  <c r="L18" i="1" a="1"/>
  <c r="L18" i="1" s="1"/>
  <c r="AK23" i="1"/>
  <c r="Z40" i="1"/>
  <c r="Z22" i="1" s="1"/>
  <c r="F20" i="1"/>
  <c r="AG20" i="1" s="1"/>
  <c r="AL23" i="1"/>
  <c r="AA40" i="1"/>
  <c r="Z41" i="1"/>
  <c r="AM23" i="1"/>
  <c r="AD39" i="1"/>
  <c r="AB40" i="1"/>
  <c r="AA41" i="1"/>
  <c r="AC40" i="1"/>
  <c r="AB41" i="1"/>
  <c r="AD22" i="1" l="1"/>
  <c r="AE22" i="1"/>
  <c r="AE41" i="1"/>
  <c r="B19" i="1"/>
  <c r="AE42" i="1"/>
  <c r="AE40" i="1"/>
  <c r="AO24" i="1"/>
  <c r="AN24" i="1"/>
  <c r="AM24" i="1"/>
  <c r="F21" i="1"/>
  <c r="D20" i="1"/>
  <c r="AL24" i="1"/>
  <c r="AK24" i="1"/>
  <c r="B20" i="1"/>
  <c r="AJ24" i="1"/>
  <c r="AE39" i="1"/>
  <c r="AE113" i="1" s="1"/>
  <c r="AO25" i="1" l="1"/>
  <c r="AN25" i="1"/>
  <c r="AM25" i="1"/>
  <c r="AL25" i="1"/>
  <c r="D21" i="1"/>
  <c r="F22" i="1"/>
  <c r="B21" i="1"/>
  <c r="AK25" i="1"/>
  <c r="AJ25" i="1"/>
  <c r="AG22" i="1"/>
  <c r="AE114" i="1"/>
  <c r="K39" i="1" s="1"/>
  <c r="K40" i="1" s="1"/>
  <c r="K19" i="1"/>
  <c r="C19" i="1"/>
  <c r="AG21" i="1"/>
  <c r="C20" i="1" l="1"/>
  <c r="K21" i="1" s="1"/>
  <c r="L21" i="1" s="1"/>
  <c r="K20" i="1"/>
  <c r="L20" i="1" s="1"/>
  <c r="L19" i="1"/>
  <c r="AG19" i="1"/>
  <c r="AO26" i="1"/>
  <c r="F23" i="1"/>
  <c r="AN26" i="1"/>
  <c r="B22" i="1"/>
  <c r="AM26" i="1"/>
  <c r="D22" i="1"/>
  <c r="AL26" i="1"/>
  <c r="AG23" i="1"/>
  <c r="AK26" i="1"/>
  <c r="AJ26" i="1"/>
  <c r="AO27" i="1" l="1"/>
  <c r="AN27" i="1"/>
  <c r="F24" i="1"/>
  <c r="D23" i="1"/>
  <c r="AM27" i="1"/>
  <c r="AL27" i="1"/>
  <c r="B23" i="1"/>
  <c r="AK27" i="1"/>
  <c r="AG24" i="1"/>
  <c r="AJ27" i="1"/>
  <c r="L39" i="1"/>
  <c r="C21" i="1"/>
  <c r="C22" i="1" l="1"/>
  <c r="K23" i="1" s="1"/>
  <c r="K22" i="1"/>
  <c r="AJ28" i="1"/>
  <c r="AO28" i="1"/>
  <c r="AN28" i="1"/>
  <c r="F25" i="1"/>
  <c r="D24" i="1"/>
  <c r="AM28" i="1"/>
  <c r="AL28" i="1"/>
  <c r="B24" i="1"/>
  <c r="AK28" i="1"/>
  <c r="AG25" i="1"/>
  <c r="AK29" i="1" l="1"/>
  <c r="AG26" i="1"/>
  <c r="AJ29" i="1"/>
  <c r="AO29" i="1"/>
  <c r="AN29" i="1"/>
  <c r="F26" i="1"/>
  <c r="D25" i="1"/>
  <c r="AM29" i="1"/>
  <c r="AL29" i="1"/>
  <c r="B25" i="1"/>
  <c r="C23" i="1"/>
  <c r="K24" i="1" s="1"/>
  <c r="C24" i="1" l="1"/>
  <c r="K25" i="1" s="1"/>
  <c r="AL30" i="1"/>
  <c r="B26" i="1"/>
  <c r="AK30" i="1"/>
  <c r="AG27" i="1"/>
  <c r="AJ30" i="1"/>
  <c r="AO30" i="1"/>
  <c r="AN30" i="1"/>
  <c r="F27" i="1"/>
  <c r="D26" i="1"/>
  <c r="AM30" i="1"/>
  <c r="C25" i="1" l="1"/>
  <c r="K26" i="1" s="1"/>
  <c r="AM31" i="1"/>
  <c r="AL31" i="1"/>
  <c r="AG28" i="1"/>
  <c r="B27" i="1"/>
  <c r="AK31" i="1"/>
  <c r="AJ31" i="1"/>
  <c r="AO31" i="1"/>
  <c r="F28" i="1"/>
  <c r="AN31" i="1"/>
  <c r="D27" i="1"/>
  <c r="AN32" i="1" l="1"/>
  <c r="AM32" i="1"/>
  <c r="B28" i="1"/>
  <c r="AL32" i="1"/>
  <c r="AG29" i="1"/>
  <c r="AK32" i="1"/>
  <c r="AJ32" i="1"/>
  <c r="AO32" i="1"/>
  <c r="F29" i="1"/>
  <c r="D28" i="1"/>
  <c r="C26" i="1"/>
  <c r="K27" i="1" s="1"/>
  <c r="C27" i="1" l="1"/>
  <c r="K28" i="1"/>
  <c r="AO33" i="1"/>
  <c r="F30" i="1"/>
  <c r="D29" i="1"/>
  <c r="AN33" i="1"/>
  <c r="AM33" i="1"/>
  <c r="B29" i="1"/>
  <c r="AL33" i="1"/>
  <c r="AG30" i="1"/>
  <c r="AK33" i="1"/>
  <c r="AJ33" i="1"/>
  <c r="C28" i="1" l="1"/>
  <c r="K29" i="1" s="1"/>
  <c r="AO34" i="1"/>
  <c r="F31" i="1"/>
  <c r="D30" i="1"/>
  <c r="AN34" i="1"/>
  <c r="AM34" i="1"/>
  <c r="B30" i="1"/>
  <c r="AL34" i="1"/>
  <c r="AG31" i="1"/>
  <c r="AK34" i="1"/>
  <c r="AJ34" i="1"/>
  <c r="C29" i="1" l="1"/>
  <c r="K30" i="1"/>
  <c r="AO35" i="1"/>
  <c r="F32" i="1"/>
  <c r="D31" i="1"/>
  <c r="AN35" i="1"/>
  <c r="AM35" i="1"/>
  <c r="B31" i="1"/>
  <c r="AL35" i="1"/>
  <c r="AG32" i="1"/>
  <c r="AK35" i="1"/>
  <c r="AJ35" i="1"/>
  <c r="C30" i="1" l="1"/>
  <c r="K31" i="1" s="1"/>
  <c r="AJ36" i="1"/>
  <c r="AO36" i="1"/>
  <c r="F33" i="1"/>
  <c r="D32" i="1"/>
  <c r="AN36" i="1"/>
  <c r="AM36" i="1"/>
  <c r="B32" i="1"/>
  <c r="AL36" i="1"/>
  <c r="AG33" i="1"/>
  <c r="AK36" i="1"/>
  <c r="C31" i="1" l="1"/>
  <c r="K32" i="1" s="1"/>
  <c r="AK37" i="1"/>
  <c r="AJ37" i="1"/>
  <c r="AO37" i="1"/>
  <c r="F34" i="1"/>
  <c r="D33" i="1"/>
  <c r="AN37" i="1"/>
  <c r="AM37" i="1"/>
  <c r="B33" i="1"/>
  <c r="AL37" i="1"/>
  <c r="AG34" i="1"/>
  <c r="C32" i="1" l="1"/>
  <c r="K33" i="1" s="1"/>
  <c r="AL38" i="1"/>
  <c r="AG35" i="1"/>
  <c r="AK38" i="1"/>
  <c r="AJ38" i="1"/>
  <c r="AO38" i="1"/>
  <c r="F35" i="1"/>
  <c r="D34" i="1"/>
  <c r="AN38" i="1"/>
  <c r="AM38" i="1"/>
  <c r="B34" i="1"/>
  <c r="C33" i="1" l="1"/>
  <c r="K34" i="1" s="1"/>
  <c r="B35" i="1"/>
  <c r="AG36" i="1"/>
  <c r="AO39" i="1"/>
  <c r="AN39" i="1"/>
  <c r="AM39" i="1"/>
  <c r="AL39" i="1"/>
  <c r="AK39" i="1"/>
  <c r="F36" i="1"/>
  <c r="D35" i="1"/>
  <c r="AJ39" i="1"/>
  <c r="C34" i="1" l="1"/>
  <c r="K35" i="1" s="1"/>
  <c r="AO40" i="1"/>
  <c r="AN40" i="1"/>
  <c r="B36" i="1"/>
  <c r="AM40" i="1"/>
  <c r="AG37" i="1"/>
  <c r="AL40" i="1"/>
  <c r="AK40" i="1"/>
  <c r="AJ40" i="1"/>
  <c r="F37" i="1"/>
  <c r="D36" i="1"/>
  <c r="C35" i="1" l="1"/>
  <c r="K36" i="1" s="1"/>
  <c r="AN41" i="1"/>
  <c r="F38" i="1"/>
  <c r="D37" i="1"/>
  <c r="AM41" i="1"/>
  <c r="AL41" i="1"/>
  <c r="B37" i="1"/>
  <c r="AK41" i="1"/>
  <c r="AG38" i="1"/>
  <c r="AJ41" i="1"/>
  <c r="AO41" i="1"/>
  <c r="C36" i="1" l="1"/>
  <c r="K37" i="1" s="1"/>
  <c r="AM42" i="1"/>
  <c r="AL42" i="1"/>
  <c r="D38" i="1"/>
  <c r="AK42" i="1"/>
  <c r="AJ42" i="1"/>
  <c r="B38" i="1"/>
  <c r="AO42" i="1"/>
  <c r="AN42" i="1"/>
  <c r="C37" i="1" l="1"/>
  <c r="K38" i="1" s="1"/>
  <c r="C38" i="1" l="1"/>
  <c r="AH19" i="1" s="1"/>
  <c r="E10" i="1" s="1"/>
  <c r="AM156" i="4" l="1"/>
  <c r="B81" i="4"/>
  <c r="B80" i="4"/>
  <c r="B79" i="4"/>
  <c r="B78" i="4"/>
  <c r="EB73" i="4"/>
  <c r="DZ73" i="4"/>
  <c r="DX73" i="4"/>
  <c r="DV73" i="4"/>
  <c r="DT73" i="4"/>
  <c r="DR73" i="4"/>
  <c r="DP73" i="4"/>
  <c r="DN73" i="4"/>
  <c r="DL73" i="4"/>
  <c r="DJ73" i="4"/>
  <c r="DH73" i="4"/>
  <c r="DF73" i="4"/>
  <c r="DD73" i="4"/>
  <c r="DB73" i="4"/>
  <c r="CZ73" i="4"/>
  <c r="CX73" i="4"/>
  <c r="CV73" i="4"/>
  <c r="CT73" i="4"/>
  <c r="CR73" i="4"/>
  <c r="CP73" i="4"/>
  <c r="CN73" i="4"/>
  <c r="CL73" i="4"/>
  <c r="CJ73" i="4"/>
  <c r="CH73" i="4"/>
  <c r="CF73" i="4"/>
  <c r="CD73" i="4"/>
  <c r="CB73" i="4"/>
  <c r="ED75" i="4" s="1"/>
  <c r="F80" i="4" s="1"/>
  <c r="BZ73" i="4"/>
  <c r="BX73" i="4"/>
  <c r="BV73" i="4"/>
  <c r="BT73" i="4"/>
  <c r="BR73" i="4"/>
  <c r="BP73" i="4"/>
  <c r="BN73" i="4"/>
  <c r="BL73" i="4"/>
  <c r="BJ73" i="4"/>
  <c r="BH73" i="4"/>
  <c r="BF73" i="4"/>
  <c r="BD73" i="4"/>
  <c r="BB73" i="4"/>
  <c r="AZ73" i="4"/>
  <c r="AX73" i="4"/>
  <c r="AV73" i="4"/>
  <c r="AT73" i="4"/>
  <c r="AR73" i="4"/>
  <c r="AP73" i="4"/>
  <c r="AN73" i="4"/>
  <c r="AJ73" i="4"/>
  <c r="AH73" i="4"/>
  <c r="AF73" i="4"/>
  <c r="AD73" i="4"/>
  <c r="AB73" i="4"/>
  <c r="Z73" i="4"/>
  <c r="X73" i="4"/>
  <c r="V73" i="4"/>
  <c r="T73" i="4"/>
  <c r="R73" i="4"/>
  <c r="P73" i="4"/>
  <c r="N73" i="4"/>
  <c r="L73" i="4"/>
  <c r="J73" i="4"/>
  <c r="H73" i="4"/>
  <c r="F73" i="4"/>
  <c r="D73" i="4"/>
  <c r="B73" i="4"/>
  <c r="ED74" i="4" s="1"/>
  <c r="F79" i="4" s="1"/>
  <c r="EC72" i="4"/>
  <c r="EA72" i="4"/>
  <c r="DY72" i="4"/>
  <c r="DW72" i="4"/>
  <c r="DU72" i="4"/>
  <c r="DS72" i="4"/>
  <c r="DQ72" i="4"/>
  <c r="DO72" i="4"/>
  <c r="DM72" i="4"/>
  <c r="DK72" i="4"/>
  <c r="DI72" i="4"/>
  <c r="DG72" i="4"/>
  <c r="DE72" i="4"/>
  <c r="DC72" i="4"/>
  <c r="DA72" i="4"/>
  <c r="CY72" i="4"/>
  <c r="CW72" i="4"/>
  <c r="CU72" i="4"/>
  <c r="CS72" i="4"/>
  <c r="CQ72" i="4"/>
  <c r="CO72" i="4"/>
  <c r="CM72" i="4"/>
  <c r="CK72" i="4"/>
  <c r="CI72" i="4"/>
  <c r="CG72" i="4"/>
  <c r="CE72" i="4"/>
  <c r="CC72" i="4"/>
  <c r="CA72" i="4"/>
  <c r="BY72" i="4"/>
  <c r="BW72" i="4"/>
  <c r="BU72" i="4"/>
  <c r="BS72" i="4"/>
  <c r="BQ72" i="4"/>
  <c r="BO72" i="4"/>
  <c r="BM72" i="4"/>
  <c r="BK72" i="4"/>
  <c r="BI72" i="4"/>
  <c r="BG72" i="4"/>
  <c r="BE72" i="4"/>
  <c r="BC72" i="4"/>
  <c r="BA72" i="4"/>
  <c r="AY72" i="4"/>
  <c r="AW72" i="4"/>
  <c r="AU72" i="4"/>
  <c r="AS72" i="4"/>
  <c r="AQ72" i="4"/>
  <c r="AO72" i="4"/>
  <c r="ED72" i="4" s="1"/>
  <c r="F78" i="4" s="1"/>
  <c r="AK72" i="4"/>
  <c r="AI72" i="4"/>
  <c r="AG72" i="4"/>
  <c r="AE72" i="4"/>
  <c r="AC72" i="4"/>
  <c r="AA72" i="4"/>
  <c r="Y72" i="4"/>
  <c r="W72" i="4"/>
  <c r="U72" i="4"/>
  <c r="S72" i="4"/>
  <c r="Q72" i="4"/>
  <c r="O72" i="4"/>
  <c r="M72" i="4"/>
  <c r="K72" i="4"/>
  <c r="I72" i="4"/>
  <c r="G72" i="4"/>
  <c r="E72" i="4"/>
  <c r="C72" i="4"/>
  <c r="ED73" i="4" l="1"/>
  <c r="F81" i="4" s="1"/>
  <c r="CH23" i="6" l="1"/>
</calcChain>
</file>

<file path=xl/comments1.xml><?xml version="1.0" encoding="utf-8"?>
<comments xmlns="http://schemas.openxmlformats.org/spreadsheetml/2006/main">
  <authors>
    <author>HG</author>
    <author>Harold Good</author>
    <author>John Bryant</author>
  </authors>
  <commentList>
    <comment ref="AH11" authorId="0">
      <text>
        <r>
          <rPr>
            <sz val="8"/>
            <color indexed="81"/>
            <rFont val="Tahoma"/>
            <family val="2"/>
          </rPr>
          <t xml:space="preserve">The below is no longer applicable.
This is linked to Days to Finish in column AE.
If 1 - it will disable the Option Buttons.
If 2 - it will enable the Option Buttons.
This formula </t>
        </r>
        <r>
          <rPr>
            <u/>
            <sz val="8"/>
            <color indexed="81"/>
            <rFont val="Tahoma"/>
            <family val="2"/>
          </rPr>
          <t>must</t>
        </r>
        <r>
          <rPr>
            <sz val="8"/>
            <color indexed="81"/>
            <rFont val="Tahoma"/>
            <family val="2"/>
          </rPr>
          <t xml:space="preserve"> be in cell AH11.</t>
        </r>
      </text>
    </comment>
    <comment ref="R13" authorId="0">
      <text>
        <r>
          <rPr>
            <sz val="8"/>
            <color indexed="81"/>
            <rFont val="Tahoma"/>
            <family val="2"/>
          </rPr>
          <t xml:space="preserve">   Use the dropdown list in the cell below to select the list of books available.  
   This list of books will then be available for you to choose from in the "Books" column.</t>
        </r>
      </text>
    </comment>
    <comment ref="T13" authorId="1">
      <text>
        <r>
          <rPr>
            <sz val="8"/>
            <color indexed="81"/>
            <rFont val="Tahoma"/>
            <family val="2"/>
          </rPr>
          <t>This is the month and year the project began with TSC partnership.
It may be different than the "Begin Date of Current Phase" below it if the project is now in a second Phase.
Enter in MMMYYYY format.</t>
        </r>
      </text>
    </comment>
    <comment ref="O14" authorId="0">
      <text>
        <r>
          <rPr>
            <sz val="8"/>
            <color indexed="81"/>
            <rFont val="Tahoma"/>
            <family val="2"/>
          </rPr>
          <t xml:space="preserve">Enter a date (MMM-YYYY) in here </t>
        </r>
        <r>
          <rPr>
            <u/>
            <sz val="8"/>
            <color indexed="81"/>
            <rFont val="Tahoma"/>
            <family val="2"/>
          </rPr>
          <t>only</t>
        </r>
        <r>
          <rPr>
            <sz val="8"/>
            <color indexed="81"/>
            <rFont val="Tahoma"/>
            <family val="2"/>
          </rPr>
          <t xml:space="preserve"> when the team is part way into the project and it becomes necessary to revise the Plan. This is the date the Revision or Phase Renewal takes effect. It is </t>
        </r>
        <r>
          <rPr>
            <u/>
            <sz val="8"/>
            <color indexed="81"/>
            <rFont val="Tahoma"/>
            <family val="2"/>
          </rPr>
          <t>not</t>
        </r>
        <r>
          <rPr>
            <sz val="8"/>
            <color indexed="81"/>
            <rFont val="Tahoma"/>
            <family val="2"/>
          </rPr>
          <t xml:space="preserve"> Today's Date (the date you are working on it).
This cell has two functions:
1. It clearly states to all when the most recent change to the Plan occured. This revised Plan should be agreed upon by both the Team and TSC.
=======================
The following is only for those interested in the mechanics of the spreadsheet!
2. Because the "Days Req'd to Finish Goals" column uses </t>
        </r>
        <r>
          <rPr>
            <u/>
            <sz val="8"/>
            <color indexed="81"/>
            <rFont val="Tahoma"/>
            <family val="2"/>
          </rPr>
          <t>averages</t>
        </r>
        <r>
          <rPr>
            <sz val="8"/>
            <color indexed="81"/>
            <rFont val="Tahoma"/>
            <family val="2"/>
          </rPr>
          <t xml:space="preserve"> from previous years (from the Days Required Table) to calculate it's value (turning yellow when within 5% of your "Work Days per Year" number), it is necessary, when </t>
        </r>
        <r>
          <rPr>
            <u/>
            <sz val="8"/>
            <color indexed="81"/>
            <rFont val="Tahoma"/>
            <family val="2"/>
          </rPr>
          <t>revising</t>
        </r>
        <r>
          <rPr>
            <sz val="8"/>
            <color indexed="81"/>
            <rFont val="Tahoma"/>
            <family val="2"/>
          </rPr>
          <t xml:space="preserve"> the project midway into it, to </t>
        </r>
        <r>
          <rPr>
            <u/>
            <sz val="8"/>
            <color indexed="81"/>
            <rFont val="Tahoma"/>
            <family val="2"/>
          </rPr>
          <t>not</t>
        </r>
        <r>
          <rPr>
            <sz val="8"/>
            <color indexed="81"/>
            <rFont val="Tahoma"/>
            <family val="2"/>
          </rPr>
          <t xml:space="preserve"> include years </t>
        </r>
        <r>
          <rPr>
            <u/>
            <sz val="8"/>
            <color indexed="81"/>
            <rFont val="Tahoma"/>
            <family val="2"/>
          </rPr>
          <t>previous</t>
        </r>
        <r>
          <rPr>
            <sz val="8"/>
            <color indexed="81"/>
            <rFont val="Tahoma"/>
            <family val="2"/>
          </rPr>
          <t xml:space="preserve"> to the year you enter in this cell as part of that average.
     Thus, entering the MMM YYYY into this cell disables averaging from previous years so it will only average present and future years (not including previous years), beginning with the date you enter.
     E.g. Your original project began in 2002 and the Plan shows it will finish in 2012. Your original Plan has no date in this "Last Plan Revision Date" cell, thus the spreadsheet averages figures of </t>
        </r>
        <r>
          <rPr>
            <u/>
            <sz val="8"/>
            <color indexed="81"/>
            <rFont val="Tahoma"/>
            <family val="2"/>
          </rPr>
          <t>all</t>
        </r>
        <r>
          <rPr>
            <sz val="8"/>
            <color indexed="81"/>
            <rFont val="Tahoma"/>
            <family val="2"/>
          </rPr>
          <t xml:space="preserve"> years together beginning in 2002, each successive year includes all previous years in it's averaging calculations. But now, in 2007, it becomes necessary to revise the Plan, changing the years or perhaps adding or removing books.
     To revise the Plan in May 2007, you may need to re-enter years in the green cells for the 6 Stages from 2007 through the end of the project, or add or remove books to translate as part of the revised project. By entering the MMM-YYYY in this "Last Plan Revision Date" cell, it turns off averaging from previous years (2002-2006) so they don't influence your newly Revised Plan as you plan it.  It will only average from this year (the MMM-YYYY you enter) forward as you fill in years from 2007 and forward into the 6 Stages. Thus as you fill in the revised plan in the 6 Stages (green cells), starting the revision in 2007, then fill in 2008, then when you, for example, get to 2009, it will be averaging "Days Required" from the "Days Reequired Table" for the years 2007-2009, and your "Work Days per Year" column for the years 2007-2009. When the cell in the "Days Req'd to Finish" column turns Yellow, the average for these 3 years is within 5% (either higher or lower) of your number to the left, which is close enough for Planning purposes, then you can move on and schedule 2010, etc.
</t>
        </r>
      </text>
    </comment>
    <comment ref="AH14" authorId="0">
      <text>
        <r>
          <rPr>
            <sz val="8"/>
            <color indexed="81"/>
            <rFont val="Tahoma"/>
            <family val="2"/>
          </rPr>
          <t>Don't delete this formula. It works with the variable dropdown list for the Book List Selector to the left.</t>
        </r>
      </text>
    </comment>
    <comment ref="F15" authorId="1">
      <text>
        <r>
          <rPr>
            <sz val="10"/>
            <color indexed="81"/>
            <rFont val="Tahoma"/>
            <family val="2"/>
          </rPr>
          <t>Note, these are Fiscal Years, which run from Oct 1 - Sep 30.
   The entire project is planned using Fiscal Years, not Calendar Years.</t>
        </r>
      </text>
    </comment>
    <comment ref="H15" authorId="0">
      <text>
        <r>
          <rPr>
            <sz val="8"/>
            <color indexed="81"/>
            <rFont val="Tahoma"/>
            <family val="2"/>
          </rPr>
          <t xml:space="preserve">Enter here the number of MTTs (mother tongue translators) that will be working on the draft of the translation.
   This should represent the FTEs (full time equivalents). Two MTTs each working half time would equal 1 FTE.
   It is recommended that you enter the MTTs names and portion of time they will spend on the project in the My Notes section to the far right. (Click the "Show My Notes" button.) This will help you recall later how you arrived at the FTE number you enter in this column.
     This number does not affect any calculations (you can change the data in this column and nothing else will change in the spreadsheet), it is for your own reference and archival purposes only.
</t>
        </r>
      </text>
    </comment>
    <comment ref="I15" authorId="0">
      <text>
        <r>
          <rPr>
            <b/>
            <sz val="8"/>
            <color indexed="81"/>
            <rFont val="Tahoma"/>
            <family val="2"/>
          </rPr>
          <t xml:space="preserve">     </t>
        </r>
        <r>
          <rPr>
            <b/>
            <u/>
            <sz val="8"/>
            <color indexed="81"/>
            <rFont val="Tahoma"/>
            <family val="2"/>
          </rPr>
          <t>This is the most important part of the entire Planning Spreadsheet!</t>
        </r>
        <r>
          <rPr>
            <sz val="8"/>
            <color indexed="81"/>
            <rFont val="Tahoma"/>
            <family val="2"/>
          </rPr>
          <t xml:space="preserve">
This is the number of verses that can be </t>
        </r>
        <r>
          <rPr>
            <u/>
            <sz val="8"/>
            <color indexed="81"/>
            <rFont val="Tahoma"/>
            <family val="2"/>
          </rPr>
          <t>drafted</t>
        </r>
        <r>
          <rPr>
            <sz val="8"/>
            <color indexed="81"/>
            <rFont val="Tahoma"/>
            <family val="2"/>
          </rPr>
          <t xml:space="preserve"> per day for </t>
        </r>
        <r>
          <rPr>
            <u/>
            <sz val="8"/>
            <color indexed="81"/>
            <rFont val="Tahoma"/>
            <family val="2"/>
          </rPr>
          <t>Level of Difficulty #3</t>
        </r>
        <r>
          <rPr>
            <sz val="8"/>
            <color indexed="81"/>
            <rFont val="Tahoma"/>
            <family val="2"/>
          </rPr>
          <t xml:space="preserve"> books by the </t>
        </r>
        <r>
          <rPr>
            <u/>
            <sz val="8"/>
            <color indexed="81"/>
            <rFont val="Tahoma"/>
            <family val="2"/>
          </rPr>
          <t>entire</t>
        </r>
        <r>
          <rPr>
            <sz val="8"/>
            <color indexed="81"/>
            <rFont val="Tahoma"/>
            <family val="2"/>
          </rPr>
          <t xml:space="preserve"> translation </t>
        </r>
        <r>
          <rPr>
            <u/>
            <sz val="8"/>
            <color indexed="81"/>
            <rFont val="Tahoma"/>
            <family val="2"/>
          </rPr>
          <t>team</t>
        </r>
        <r>
          <rPr>
            <sz val="8"/>
            <color indexed="81"/>
            <rFont val="Tahoma"/>
            <family val="2"/>
          </rPr>
          <t xml:space="preserve">, (not per individual)  if they were all working on Draft at the same time. 
NOTE: This is for the First Draft Stage (column) only; it has nothing to do with Team Check or the other Stages. 
NOTE: It is important to recognize that this Draft Stage also includes the Exegesis process.
If you set the number of "Work Days per Year" to 215, this means that 35% of their time will be spent drafting (about 75 days per year), the remainder of their time they will be carrying out the remaining 5 Stages such as Team Check, etc.
Following is a chart to give you guidance as to what numbers to enter in the "Team Verses Drafted per Day" column.  These rates of drafting are based on books with a "Level of Difficulty" equal to 3 (average narrative difficulty).  Notice that the number of verses is not doubled when there are two translators or tripled when three translators, because they spend more time interacting.
        GUIDELINES for "Team Verses Drafted per Day" column:
     (for an average team with </t>
        </r>
        <r>
          <rPr>
            <u/>
            <sz val="8"/>
            <color indexed="81"/>
            <rFont val="Tahoma"/>
            <family val="2"/>
          </rPr>
          <t>good</t>
        </r>
        <r>
          <rPr>
            <sz val="8"/>
            <color indexed="81"/>
            <rFont val="Tahoma"/>
            <family val="2"/>
          </rPr>
          <t xml:space="preserve"> exegetical helps and commentaries)
                   1 MTT            1-2 MTTs           2-3 MTTs
  Yr 1                 6                   10                    14
  Yr 2                 8                   12                    16
  Yr 3               10                   14                    18
  Yr 4 &amp; up       12                  16                   20
Example - if your team has two MTTs, you could enter "10" in the "Team Verses Drafted per Day" column for Year 1; "12" for Year 2, etc.  Or if you have 1 MTT full time and 1 MTT half time, you can adjust to something between, perhaps "8" for Year 1.
NOTE: The figures above assume the team have access to good commentaries and other translation helps in the national language or in English, and likely have high school education. 
If the team is highly qualified, i.e. some on the team have college education, churched background, etc, you may want to increase the figures above by 10-20%. It is important not to schedule too ambitiously, otherwise the team will fall behind schedule or not produce a quality translation.  
NOTE: While it may seem that the team can exegete and draft more verses than this in a full day, please keep in mind that if you entered 35% below the "Exegesis and First Draft" cell, the team needs to consistently spend 35% of their days producing at this rate. If your plan calls for 215 work days per year, this equals 75 days per year that they need to work at drafting, and produce at the rate you enter into the Planning Inputs Section.  
Following are some approximations of how long it should take to translate a New Testament, based on using each of the three columns above in the "Team Verses Drafted per Day" column of the spreadsheet:
  Left Column 1 MTT (average 10) -  12 years
  Center Column 1-2MTTs (average 14) -  8.7 years
  Right Column 2-3 MTTs (average 18) -  6.8 years
However, if the team is less qualified than this and relies heavily on outsiders for exegical help, you may want to decrease the figures above by 10-20% as shown below.
        GUIDELINES for "Team Verses Drafted per Day" column:
     (for an average team with </t>
        </r>
        <r>
          <rPr>
            <u/>
            <sz val="8"/>
            <color indexed="81"/>
            <rFont val="Tahoma"/>
            <family val="2"/>
          </rPr>
          <t>little</t>
        </r>
        <r>
          <rPr>
            <sz val="8"/>
            <color indexed="81"/>
            <rFont val="Tahoma"/>
            <family val="2"/>
          </rPr>
          <t xml:space="preserve"> access to exegetical helps and commentaries)
                   1 MTT            1-2 MTTs           2-3 MTTs
  Yr 1                 4                    6                    8
  Yr 2                 6                   8                    10
  Yr 3                8                   10                    12
  Yr 4 &amp; up       10                 12                    14
Refer to the Quick Calculator at the left center of this spreadsheet to try out various scenarios.
</t>
        </r>
      </text>
    </comment>
    <comment ref="J15" authorId="0">
      <text>
        <r>
          <rPr>
            <sz val="8"/>
            <color indexed="81"/>
            <rFont val="Tahoma"/>
            <family val="2"/>
          </rPr>
          <t xml:space="preserve">Enter here the estimated work days the team will work each year.  Deduct for holidays, vacations, estimated sick days, personal days, training sessions, literacy work.  
Under normal circumstances this may vary in the 210 to 230 days per year range.
E.g.  You have three translators who will each work 165 days in a given year at translation related tasks (as shown in the 6 Stages (columns) to the right). Since this column deals with the </t>
        </r>
        <r>
          <rPr>
            <u/>
            <sz val="8"/>
            <color indexed="81"/>
            <rFont val="Tahoma"/>
            <family val="2"/>
          </rPr>
          <t>team</t>
        </r>
        <r>
          <rPr>
            <sz val="8"/>
            <color indexed="81"/>
            <rFont val="Tahoma"/>
            <family val="2"/>
          </rPr>
          <t xml:space="preserve"> days worked, you would enter "165" in this column for that year.  You do not multiply 165 x 3. 
Training sessions and literacy work days can be included in this Plan by entering those estimated days in the "Other Goals and Milestones" section at the bottom.
</t>
        </r>
      </text>
    </comment>
    <comment ref="K15" authorId="0">
      <text>
        <r>
          <rPr>
            <u/>
            <sz val="8"/>
            <color indexed="81"/>
            <rFont val="Tahoma"/>
            <family val="2"/>
          </rPr>
          <t xml:space="preserve">1. When planning a project for the first time </t>
        </r>
        <r>
          <rPr>
            <sz val="8"/>
            <color indexed="81"/>
            <rFont val="Tahoma"/>
            <family val="2"/>
          </rPr>
          <t xml:space="preserve">- This is the number of days required for the team to complete the work you have scheduled for each year, </t>
        </r>
        <r>
          <rPr>
            <u/>
            <sz val="8"/>
            <color indexed="81"/>
            <rFont val="Tahoma"/>
            <family val="2"/>
          </rPr>
          <t>plus or minus the excess or shortfall days from the previous year</t>
        </r>
        <r>
          <rPr>
            <sz val="8"/>
            <color indexed="81"/>
            <rFont val="Tahoma"/>
            <family val="2"/>
          </rPr>
          <t xml:space="preserve">. When finished with your planning for each year, each cell in this column should nearly equal the "Work Days per Year" in the green Planning Inputs column to the left, and thus by colored bright </t>
        </r>
        <r>
          <rPr>
            <u/>
            <sz val="8"/>
            <color indexed="81"/>
            <rFont val="Tahoma"/>
            <family val="2"/>
          </rPr>
          <t>Yellow</t>
        </r>
        <r>
          <rPr>
            <sz val="8"/>
            <color indexed="81"/>
            <rFont val="Tahoma"/>
            <family val="2"/>
          </rPr>
          <t>. 
The cells in this column will turn</t>
        </r>
        <r>
          <rPr>
            <sz val="8"/>
            <color indexed="81"/>
            <rFont val="Tahoma"/>
            <family val="2"/>
          </rPr>
          <t xml:space="preserve"> bright </t>
        </r>
        <r>
          <rPr>
            <u/>
            <sz val="8"/>
            <color indexed="81"/>
            <rFont val="Tahoma"/>
            <family val="2"/>
          </rPr>
          <t>Yellow</t>
        </r>
        <r>
          <rPr>
            <sz val="8"/>
            <color indexed="81"/>
            <rFont val="Tahoma"/>
            <family val="2"/>
          </rPr>
          <t xml:space="preserve"> color if the number in this column, for a given year, is within plus or minus 5% of your number in the "Work Days per Year" column.  It will turn </t>
        </r>
        <r>
          <rPr>
            <u/>
            <sz val="8"/>
            <color indexed="81"/>
            <rFont val="Tahoma"/>
            <family val="2"/>
          </rPr>
          <t>Red</t>
        </r>
        <r>
          <rPr>
            <sz val="8"/>
            <color indexed="81"/>
            <rFont val="Tahoma"/>
            <family val="2"/>
          </rPr>
          <t xml:space="preserve"> if it exceeds it by more than 5%.   If </t>
        </r>
        <r>
          <rPr>
            <u/>
            <sz val="8"/>
            <color indexed="81"/>
            <rFont val="Tahoma"/>
            <family val="2"/>
          </rPr>
          <t>Red</t>
        </r>
        <r>
          <rPr>
            <sz val="8"/>
            <color indexed="81"/>
            <rFont val="Tahoma"/>
            <family val="2"/>
          </rPr>
          <t xml:space="preserve">, it indicates you may have scheduled too much work for that year, unless you are intentionally spanning two years with a large book (see example below). If a negative number appears, it indicates the previous year needs to have more work scheduled in it.
The ideal is that each cell will end up colored bright </t>
        </r>
        <r>
          <rPr>
            <u/>
            <sz val="8"/>
            <color indexed="81"/>
            <rFont val="Tahoma"/>
            <family val="2"/>
          </rPr>
          <t>Yellow,</t>
        </r>
        <r>
          <rPr>
            <sz val="8"/>
            <color indexed="81"/>
            <rFont val="Tahoma"/>
            <family val="2"/>
          </rPr>
          <t xml:space="preserve"> indicating you've properly scheduled (within 5%) your workload for each year according to days available. If done in this manner, you will notice the graph on the Progress page is a smooth line or curve.
Because the cells in this column </t>
        </r>
        <r>
          <rPr>
            <u/>
            <sz val="8"/>
            <color indexed="81"/>
            <rFont val="Tahoma"/>
            <family val="2"/>
          </rPr>
          <t>average</t>
        </r>
        <r>
          <rPr>
            <sz val="8"/>
            <color indexed="81"/>
            <rFont val="Tahoma"/>
            <family val="2"/>
          </rPr>
          <t xml:space="preserve"> the workload scheduled in the years above it, it will likely not show the </t>
        </r>
        <r>
          <rPr>
            <u/>
            <sz val="8"/>
            <color indexed="81"/>
            <rFont val="Tahoma"/>
            <family val="2"/>
          </rPr>
          <t>exact</t>
        </r>
        <r>
          <rPr>
            <sz val="8"/>
            <color indexed="81"/>
            <rFont val="Tahoma"/>
            <family val="2"/>
          </rPr>
          <t xml:space="preserve"> number of days you have scheduled for that year. (</t>
        </r>
        <r>
          <rPr>
            <u/>
            <sz val="8"/>
            <color indexed="81"/>
            <rFont val="Tahoma"/>
            <family val="2"/>
          </rPr>
          <t>That</t>
        </r>
        <r>
          <rPr>
            <sz val="8"/>
            <color indexed="81"/>
            <rFont val="Tahoma"/>
            <family val="2"/>
          </rPr>
          <t xml:space="preserve"> exact figure is shown at the top of the "Total Team Days" column.) Rather, it shows the average for those cells above it. Therefore, when making adjustments to a planned project, always start with the nearest year and progress to years further out.
E.g.  In planning your project, in 2009 you have scheduled 154 days of work (out of 200 days available) and the next book you want to begin is Exodus. Being a large book, you see in the "Days Required Table" that it will take 80 days just to Draft it. You have the choice to list Exodus to be done in 2009 or 2010, either is okay. If you choose 2009, the cell will turn red because you have oversheduled 2009 by 34 days (200-154-80= -34). If you choose 2010, it will be underscheduled by 46 days. 
If you schedule it in 2009, thus overscheduling and turning the cell red, your scheduling in 2010 will be about 34 days less (as shown in the "Total Team Days" column), to compensate. Thus, in your scheduling,  by keeping as many cells in this "Days Req'd to Finish" column colored bright yellow, will ensure that you do not over schedule or underschedule more than two years in a row. An occasional Red cell is ok.
Note:  To see the </t>
        </r>
        <r>
          <rPr>
            <u/>
            <sz val="8"/>
            <color indexed="81"/>
            <rFont val="Tahoma"/>
            <family val="2"/>
          </rPr>
          <t>actual</t>
        </r>
        <r>
          <rPr>
            <sz val="8"/>
            <color indexed="81"/>
            <rFont val="Tahoma"/>
            <family val="2"/>
          </rPr>
          <t xml:space="preserve"> number of days scheduled for a given year, you can see this in the far right yellow column labeled "Total Team Days". The upper yellow cell in this column shows the </t>
        </r>
        <r>
          <rPr>
            <u/>
            <sz val="8"/>
            <color indexed="81"/>
            <rFont val="Tahoma"/>
            <family val="2"/>
          </rPr>
          <t>actual</t>
        </r>
        <r>
          <rPr>
            <sz val="8"/>
            <color indexed="81"/>
            <rFont val="Tahoma"/>
            <family val="2"/>
          </rPr>
          <t xml:space="preserve"> number of days you have scheduled for the year you have selected in the "View Plan for Year . . ." cell.
</t>
        </r>
        <r>
          <rPr>
            <u/>
            <sz val="8"/>
            <color indexed="81"/>
            <rFont val="Tahoma"/>
            <family val="2"/>
          </rPr>
          <t xml:space="preserve">2. When rescheduling after several years into a project </t>
        </r>
        <r>
          <rPr>
            <sz val="8"/>
            <color indexed="81"/>
            <rFont val="Tahoma"/>
            <family val="2"/>
          </rPr>
          <t xml:space="preserve">
See important Comment in cell, "Last Plan Revision Date"
Note: The numbers in this column are </t>
        </r>
        <r>
          <rPr>
            <u/>
            <sz val="8"/>
            <color indexed="81"/>
            <rFont val="Tahoma"/>
            <family val="2"/>
          </rPr>
          <t>not</t>
        </r>
        <r>
          <rPr>
            <sz val="8"/>
            <color indexed="81"/>
            <rFont val="Tahoma"/>
            <family val="2"/>
          </rPr>
          <t xml:space="preserve"> meant to be added together to come up with a meaningful sum, they will not. They are useful only on a year by year basis, to help you plan the amount of work to be done in a given year.   Therefore, use them only to compare with the column to the left, on a horizontal basis, do not total them vertically because that number is meaningless.</t>
        </r>
      </text>
    </comment>
    <comment ref="L15" authorId="1">
      <text>
        <r>
          <rPr>
            <sz val="10"/>
            <color indexed="81"/>
            <rFont val="Tahoma"/>
            <family val="2"/>
          </rPr>
          <t xml:space="preserve">    </t>
        </r>
        <r>
          <rPr>
            <b/>
            <sz val="12"/>
            <color indexed="81"/>
            <rFont val="Tahoma"/>
            <family val="2"/>
          </rPr>
          <t xml:space="preserve"> </t>
        </r>
        <r>
          <rPr>
            <b/>
            <u/>
            <sz val="12"/>
            <color indexed="81"/>
            <rFont val="Tahoma"/>
            <family val="2"/>
          </rPr>
          <t>VERSE EQUIVALENTS</t>
        </r>
        <r>
          <rPr>
            <sz val="10"/>
            <color indexed="81"/>
            <rFont val="Tahoma"/>
            <family val="2"/>
          </rPr>
          <t xml:space="preserve">
What is a Verse Equivalent? (VE)
   There are two aspects to VE:
1.  "Verse Equivalents" incorporate the Level of Difficulty factor (explained in the Comment (red triangle) in Level of Difficulty column to the right in Column O) into the number of verses in the project. The 'equivalent' means equivalent to a book with a Level of Difficulty of 3, e.g. Genesis, Matthew.
Examples:
- the book of Romans has a Difficulty level of 5 and has 433 verses.The multiplication factor for a level 5 book is 1.56 (see Excerpt below). After doing the multiplication, this brings Romans to a verse equivalent (VE) of a Level of Difficulty 3 book with 675 verses.   433 x 1.56 = 675. 
   This means that translating the 433 verses in Romans is the same amount of work as translating 675 verses of Matthew.
- Joshua has 658 verses and a Difficulty Level of 2. Using the multiplier below, Joshua is equivalent to a book having a Level of Difficulty of 3 with 526 verses.  658 x .8 = 526.
   This means that translating Joshua is the same amount of work as translating 526 verses of Matthew.
2.  There is a second important aspect to 'Verse Equivalent'. In the default Planning spreadsheet that you are viewing, the First Draft stage is set at 35%, the Team Check at 10% and Community Testing at 25% (although these may have been changed by the user). 
   This means that if Romans has a VE of 675 to finish all 6 Stages of Romans, then the First Draft VE of Romans is 675 x .35 = 236 VE.
   This is the same as the VE to do both the Team Check and Community Testing of Romans, which happen to also total 35% (.25 + .10). 
Excerpt from the comment in Column O:
Examples:
- the book of Romans has a Difficulty level of 5 and has 433 verses.The multiplication factor for a level 5 book is 1.56 (see Excerpt below). After doing the multiplication, this brings Romans to a verse equivalent (VE) of a Level of Difficulty 3 book with 675 verses.   433 x 1.56 = 675. 
   This means that translating the 433 verses in Romans is the same amount of work as translating 675 verses of Matthew.
- Joshua has 658 verses and a Difficulty Level of 2. Using the multiplier below, Joshua is equivalent to a book having a Level of Difficulty of 3 with 526 verses.  658 x .8 = 526.
   This means that translating Joshua is the same amount of work as translating 526 verses of Matthew.
2.  There is a second important aspect to 'Verse Equivalent'. In the default Planning spreadsheet that you are viewing, the First Draft stage is set at 35%, the Team Check at 10% and Community Testing at 25% (although these may have been changed by the user). 
   This means that if Romans has a VE of 675 to finish all 6 Stages of Romans, then the First Draft VE of Romans is 675 x .35 = 236 VE.
   This is the same as the VE to do both the Team Check and Community Testing of Romans, which happen to also total 35% (.25 + .10). 
Excerpt from the comment in Column O:
     Degree                  
          of             Multiplier         
     Difficulty          Factor   
           2                0.8
           3                1.0
           4                1.25
           5                1.56
</t>
        </r>
      </text>
    </comment>
    <comment ref="N15" authorId="0">
      <text>
        <r>
          <rPr>
            <sz val="8"/>
            <color indexed="81"/>
            <rFont val="Tahoma"/>
            <family val="2"/>
          </rPr>
          <t xml:space="preserve">Click one of these five buttons to select the type of project you will be planning.
   If these 5 buttons are grayed out it is because you have already begun to schedule your work. Thus they are grayed out to protect your work.
NOTE: If these buttons do not function, you need to change your Macro, Security level, then close and restart Excel. Learn how to do this in Excel Help.
</t>
        </r>
      </text>
    </comment>
    <comment ref="T15" authorId="0">
      <text>
        <r>
          <rPr>
            <sz val="8"/>
            <color indexed="81"/>
            <rFont val="Tahoma"/>
            <family val="2"/>
          </rPr>
          <t xml:space="preserve">Please enter in DDMMMYYYY format. 
A Translation Project may have several Phases (of two, three or four years in length) throughout the course of completing the translation.  One Phase would then transition into the next.
Enter here the proposed final year of the current or proposed Phase.   
Since TSC operates on the Fiscal Year basis, projects goals are designed around Fiscal Years (Oct - Sep). Therefore, TSC Projects are generally (but not always) designed to end in September, the last month of the Fiscal Year.
If you only enter MMMYYYY as in the above cells, Excel assumes the first day of the month. But since this is for completion of the project it should include the entire finial month. Therefore it is necessary to be more explicit to specify the last day of the month in this cell. Therefore please enter this date in DDMMMYYYY format.
Enter Date, Month and Year in DDMMMYYYY format.
e.g   30Sep2012   or  31Jan2009 </t>
        </r>
      </text>
    </comment>
    <comment ref="T16" authorId="0">
      <text>
        <r>
          <rPr>
            <sz val="8"/>
            <color indexed="81"/>
            <rFont val="Tahoma"/>
            <family val="2"/>
          </rPr>
          <t xml:space="preserve">This is in Fiscal Years.
By entering a 4 digit year here, it will highlight all instances of that Fiscal Year below - making it easier to find and adjust your goals for a given year. Click on the down arrow to select a Fiscal Year.
</t>
        </r>
      </text>
    </comment>
    <comment ref="O17" authorId="0">
      <text>
        <r>
          <rPr>
            <sz val="8"/>
            <color indexed="81"/>
            <rFont val="Tahoma"/>
            <family val="2"/>
          </rPr>
          <t>Level of Difficulty - this indicates the relative difficulty in translating each book. This ranking is based on input from people with decades of translation and consulting experience. 
As you can see below, 3 is average. Some books have have varying degrees of difficulty, e.g. Genesis is listed as an average of 3 but there are some portions within it that would be a 1 and some portions a 5.
Because the level of difficulty significantly affects how long it takes to translate a given book, this spreadsheet takes the number of verses in a given book and multiplies it by the Multiplier factor. Thus, for Romans, with 433 verses and a Difficulty level of 5, we multiply 433 x 1.56 = 675. Thus, in the calculations in this spreadsheet, Romans will actually be calcuated as if it had 675 verses.
     Degree                  
          of             Multiplier         
     Difficulty          Factor   
           2                0.8
           3                1.0
           4                1.25
           5                1.56</t>
        </r>
      </text>
    </comment>
    <comment ref="P17" authorId="0">
      <text>
        <r>
          <rPr>
            <sz val="8"/>
            <color indexed="81"/>
            <rFont val="Tahoma"/>
            <family val="2"/>
          </rPr>
          <t>This is the total number of verses in each complete book.</t>
        </r>
      </text>
    </comment>
    <comment ref="Q17" authorId="0">
      <text>
        <r>
          <rPr>
            <sz val="8"/>
            <color indexed="81"/>
            <rFont val="Tahoma"/>
            <family val="2"/>
          </rPr>
          <t>Here you enter the number of verses from this OT or NT book that you plan to translate as part of this project. 
This  should be done in coordination with TSC and should not be changed later without TSC approval.
If you plan to translate the entire book, then enter the same number that is listed in the "Verses in Book" column. Or if you plan to translate half of Psalms, you could enter 1,230.</t>
        </r>
      </text>
    </comment>
    <comment ref="U17" authorId="0">
      <text>
        <r>
          <rPr>
            <sz val="8"/>
            <color indexed="81"/>
            <rFont val="Tahoma"/>
            <family val="2"/>
          </rPr>
          <t xml:space="preserve">TSC recommended starting Percentages are:
First Draft                  35%
Team Check               10%
Community Testing      25%
Back Translation          10%
Consultant Check        10%
Published                   10%
We recommend you not change these unless you have very good reason for doing so, such as a year or two of experience to draw on, or you are working on an adaption.
xxxxxxxxxxxxxxxxxxxxxxxx
For Adaptations from another language, you will need to make two adjustments: 
1.  Lower the First Draft column percentage from the normal 35% to about 20% or so. This is because the adaptation saves this amount of time. (But you must then change some of the other Stage percentages because all 6 Stages </t>
        </r>
        <r>
          <rPr>
            <u/>
            <sz val="8"/>
            <color indexed="81"/>
            <rFont val="Tahoma"/>
            <family val="2"/>
          </rPr>
          <t>must</t>
        </r>
        <r>
          <rPr>
            <sz val="8"/>
            <color indexed="81"/>
            <rFont val="Tahoma"/>
            <family val="2"/>
          </rPr>
          <t xml:space="preserve"> equal 100%).
For an Adaption, depending on how closely related the languages are, you may end up with Stage percentages as follows. The two setups below are merely examples, the percentages for your adaptioan project may differ from these.
First Draft                  20%   or 30%
Team Check               20%  or 15%
Community Testing      25%  or 25%
Back Translation          10%  or 10%
Consultant Check        15%  or 10%
Published                    10%  or 10%
                                ====   ====
                     Total   100%     100%
2.  In the green Inputs section "Team Verses Drafted per Day" column, you will need to increase this number by approximately a multiple of two or three.  E.g. If you estimate your team could draft 20 verses per day in a regular translation, for an Adaption, increase this to about 40 to 60. 
</t>
        </r>
      </text>
    </comment>
    <comment ref="L18" authorId="0">
      <text>
        <r>
          <rPr>
            <sz val="8"/>
            <color indexed="81"/>
            <rFont val="Tahoma"/>
            <family val="2"/>
          </rPr>
          <t>The amount in this cell is that which was accomplished in Previous Years, prior to Year 1 in the Year column.</t>
        </r>
      </text>
    </comment>
    <comment ref="S18" authorId="1">
      <text>
        <r>
          <rPr>
            <sz val="8"/>
            <color indexed="81"/>
            <rFont val="Tahoma"/>
            <family val="2"/>
          </rPr>
          <t>This may also be known as Committee Check. It is the 'in house' check done between translators prior to taking it to the public in the 
Community Test.</t>
        </r>
      </text>
    </comment>
    <comment ref="T18" authorId="1">
      <text>
        <r>
          <rPr>
            <sz val="8"/>
            <color indexed="81"/>
            <rFont val="Tahoma"/>
            <family val="2"/>
          </rPr>
          <t>This may also be known as Village Testing or Comprehension Testing.</t>
        </r>
      </text>
    </comment>
    <comment ref="W18" authorId="1">
      <text>
        <r>
          <rPr>
            <sz val="8"/>
            <color indexed="81"/>
            <rFont val="Tahoma"/>
            <family val="2"/>
          </rPr>
          <t>This Published phase includes:
- Consistency Check
- Other final Checks
- Final Publishing</t>
        </r>
      </text>
    </comment>
    <comment ref="AG18" authorId="1">
      <text>
        <r>
          <rPr>
            <sz val="10"/>
            <color indexed="81"/>
            <rFont val="Tahoma"/>
            <family val="2"/>
          </rPr>
          <t>This column is the same as that in Col L, except this always displays percentage, it does not switch to display Verse Equivalents as Col L does when the VBA code is run. 
Thus this column is used for the calculations on the Progress page graph data.</t>
        </r>
      </text>
    </comment>
    <comment ref="AH18" authorId="1">
      <text>
        <r>
          <rPr>
            <sz val="10"/>
            <color indexed="81"/>
            <rFont val="Tahoma"/>
            <family val="2"/>
          </rPr>
          <t>Don't delete, this is a switch that determines if the "Percent of Project" column will display either percent or Verse Equivalents.
1 = Percent
2 = Verse Equivalent</t>
        </r>
      </text>
    </comment>
    <comment ref="J19" authorId="2">
      <text>
        <r>
          <rPr>
            <b/>
            <sz val="9"/>
            <color indexed="81"/>
            <rFont val="Tahoma"/>
            <family val="2"/>
          </rPr>
          <t>John Bryant:</t>
        </r>
        <r>
          <rPr>
            <sz val="9"/>
            <color indexed="81"/>
            <rFont val="Tahoma"/>
            <family val="2"/>
          </rPr>
          <t xml:space="preserve">
 Translators are working part-time as they have other responsibilities as well
</t>
        </r>
      </text>
    </comment>
    <comment ref="AH19" authorId="0">
      <text>
        <r>
          <rPr>
            <sz val="8"/>
            <color indexed="81"/>
            <rFont val="Tahoma"/>
            <family val="2"/>
          </rPr>
          <t>Don't delete this. It is the trigger for the Error message in N10</t>
        </r>
      </text>
    </comment>
    <comment ref="R21" authorId="0">
      <text>
        <r>
          <rPr>
            <sz val="8"/>
            <color indexed="81"/>
            <rFont val="Tahoma"/>
            <family val="2"/>
          </rPr>
          <t>See important instructions in the Comment in the "Stage Percentage" cell above.</t>
        </r>
      </text>
    </comment>
    <comment ref="W21" authorId="0">
      <text>
        <r>
          <rPr>
            <sz val="8"/>
            <color indexed="81"/>
            <rFont val="Tahoma"/>
            <family val="2"/>
          </rPr>
          <t>The total Percentages in these 6 columns MUST equal 100%, otherwise the calculations will not be accurate.</t>
        </r>
      </text>
    </comment>
    <comment ref="Y21" authorId="0">
      <text>
        <r>
          <rPr>
            <sz val="8"/>
            <color indexed="81"/>
            <rFont val="Tahoma"/>
            <family val="2"/>
          </rPr>
          <t>The percentages in this row are the same as those you have defined in the Stage Percentage section to the left.</t>
        </r>
      </text>
    </comment>
    <comment ref="N22" authorId="0">
      <text>
        <r>
          <rPr>
            <sz val="8"/>
            <color indexed="81"/>
            <rFont val="Tahoma"/>
            <family val="2"/>
          </rPr>
          <t>In the green cells below, you can enter books either from the dropdown list, or by typing in the name of the book, e.g. "Luke 1" or "Genesis".
In the green cells below, select the books that will be part of this translation project.
If you have a selection of Old Testament passages from one or more OT books, you can choose "OT Selections" from the dropdown list. Then enter the number of verses to the right in the "Verses in this Project" column.
For a Custom project, select from the dropdown boxes the books that you plan to translate.
To change the books available in this dropdown list, you can change the list in the top center green cell called "Book List Selector".  E.g. If the list shows only OT books but you want to choose NT books, you can select "NT" from the Book List Selector.</t>
        </r>
      </text>
    </comment>
    <comment ref="R22" authorId="0">
      <text>
        <r>
          <rPr>
            <sz val="8"/>
            <color indexed="81"/>
            <rFont val="Tahoma"/>
            <family val="2"/>
          </rPr>
          <t xml:space="preserve">This row of yellow cells displays the total number of </t>
        </r>
        <r>
          <rPr>
            <u/>
            <sz val="8"/>
            <color indexed="81"/>
            <rFont val="Tahoma"/>
            <family val="2"/>
          </rPr>
          <t>Verse Equivalents (VE)</t>
        </r>
        <r>
          <rPr>
            <sz val="8"/>
            <color indexed="81"/>
            <rFont val="Tahoma"/>
            <family val="2"/>
          </rPr>
          <t xml:space="preserve"> that you have chosen to do in the "View Plan Year", for this Stage (column). 
E.g. If in the First Draft Stage you have various years down through the column from the first book listed to the last book, ranging from 2008 to 2018.   In the "View Plan for Year" cell, you enter 2011, which then highlights all cells containing 2011. 
In this example you have Mark, Galations and Philippians assigned to be done in 2011. This yellow cell will then total the VE in those books with highlighted years in this Stage. The actual number of verses is 678+149+104=931.  The VE is 1,073. Thus the yellow cell in the First Draft column will display 1,073.
Use these yellow cells to ensure you don't schedule too heavily in any particular Stage in a given year. 
   E.g.  If you schedule too much in Consultant Check, you may not be able to find Consultants to complete this for you in that year.
</t>
        </r>
      </text>
    </comment>
    <comment ref="Y22" authorId="0">
      <text>
        <r>
          <rPr>
            <sz val="8"/>
            <color indexed="81"/>
            <rFont val="Tahoma"/>
            <family val="2"/>
          </rPr>
          <t xml:space="preserve">The numbers in this row represent the sum of the number of days in the respective columns below where the year that is selected in the "View Plan for Year . . "  matches the year you have entered in one of the six Stages to the left.  
Those cells are colored more darkly.
</t>
        </r>
      </text>
    </comment>
    <comment ref="AE22" authorId="0">
      <text>
        <r>
          <rPr>
            <sz val="8"/>
            <color indexed="81"/>
            <rFont val="Tahoma"/>
            <family val="2"/>
          </rPr>
          <t>This is the sum of all days in the Days Required Table, including the Other Goals, where the Year matches the Year in the "View Plan for Year . . ." cell.
    Thus for a given year, this is the total number of work days you have scheduled.</t>
        </r>
      </text>
    </comment>
    <comment ref="AI23" authorId="0">
      <text>
        <r>
          <rPr>
            <sz val="8"/>
            <color indexed="81"/>
            <rFont val="Tahoma"/>
            <family val="2"/>
          </rPr>
          <t xml:space="preserve">This is the </t>
        </r>
        <r>
          <rPr>
            <u/>
            <sz val="8"/>
            <color indexed="81"/>
            <rFont val="Tahoma"/>
            <family val="2"/>
          </rPr>
          <t>actual</t>
        </r>
        <r>
          <rPr>
            <sz val="8"/>
            <color indexed="81"/>
            <rFont val="Tahoma"/>
            <family val="2"/>
          </rPr>
          <t xml:space="preserve"> value of the Zoom bar</t>
        </r>
      </text>
    </comment>
    <comment ref="AI24" authorId="0">
      <text>
        <r>
          <rPr>
            <sz val="8"/>
            <color indexed="81"/>
            <rFont val="Tahoma"/>
            <family val="2"/>
          </rPr>
          <t xml:space="preserve">This is the </t>
        </r>
        <r>
          <rPr>
            <u/>
            <sz val="8"/>
            <color indexed="81"/>
            <rFont val="Tahoma"/>
            <family val="2"/>
          </rPr>
          <t>actual</t>
        </r>
        <r>
          <rPr>
            <sz val="8"/>
            <color indexed="81"/>
            <rFont val="Tahoma"/>
            <family val="2"/>
          </rPr>
          <t xml:space="preserve"> value of the Scroll bar.</t>
        </r>
      </text>
    </comment>
    <comment ref="K39" authorId="0">
      <text>
        <r>
          <rPr>
            <sz val="8"/>
            <color indexed="81"/>
            <rFont val="Tahoma"/>
            <family val="2"/>
          </rPr>
          <t xml:space="preserve">If this cell is blank, it is because the "Percent of Project" column to the right does not total 100%.
This number is </t>
        </r>
        <r>
          <rPr>
            <u/>
            <sz val="8"/>
            <color indexed="81"/>
            <rFont val="Tahoma"/>
            <family val="2"/>
          </rPr>
          <t>not</t>
        </r>
        <r>
          <rPr>
            <sz val="8"/>
            <color indexed="81"/>
            <rFont val="Tahoma"/>
            <family val="2"/>
          </rPr>
          <t xml:space="preserve"> the total of the numbers above, but it is from the "Years to Finish" row in the yellow "Total Team Days" column to the far right.</t>
        </r>
      </text>
    </comment>
    <comment ref="L39" authorId="0">
      <text>
        <r>
          <rPr>
            <sz val="8"/>
            <color indexed="81"/>
            <rFont val="Tahoma"/>
            <family val="2"/>
          </rPr>
          <t>When you finish your plan, this cell should read 100%. If it does not, it means that some of the six Stage columns to the right do not have a date in them, even though the "Verses in this Project" column indicates verses to translate in this project.
To correct this, either enter a 4 digit year in each of the 6 columns, or delete the number of verses number in the "Verses in this Project" column.</t>
        </r>
      </text>
    </comment>
    <comment ref="K40" authorId="0">
      <text>
        <r>
          <rPr>
            <sz val="8"/>
            <color indexed="81"/>
            <rFont val="Tahoma"/>
            <family val="2"/>
          </rPr>
          <t>This is a rough estimation of when your project will finish, based on the sum of "Days Req'd to Finish Goals", divided by the average of "Work Days per Year". It is added to the "Date Project Begun with TSC".
If this cell is blank, it is because the "Percent of Project" column above does not total 100%.</t>
        </r>
      </text>
    </comment>
    <comment ref="D43" authorId="1">
      <text>
        <r>
          <rPr>
            <sz val="10"/>
            <color indexed="81"/>
            <rFont val="Tahoma"/>
            <family val="2"/>
          </rPr>
          <t>This converts the Begin Date of Current Phase to a Fiscal Year.</t>
        </r>
      </text>
    </comment>
    <comment ref="D44" authorId="1">
      <text>
        <r>
          <rPr>
            <sz val="10"/>
            <color indexed="81"/>
            <rFont val="Tahoma"/>
            <family val="2"/>
          </rPr>
          <t>This converts the End Date of Current Phase to a Fiscal Year.</t>
        </r>
      </text>
    </comment>
    <comment ref="E51" authorId="0">
      <text>
        <r>
          <rPr>
            <sz val="8"/>
            <color indexed="81"/>
            <rFont val="Tahoma"/>
            <family val="2"/>
          </rPr>
          <t xml:space="preserve">Use this optional Quick Calculator to estimate the years required to complete the project, by entering your variables in the green cells below.
In addition to the two green cells below this cell, the other information required is:
1. "Total Verses in Project" cell to have the total number of verses you plan to translate in this project. Therefore you must enter all the books and verses you want as part of your proejct prior to using this calculator.
2. The six "Stage Percentage" figures to be filled in. Default is 35% of the process for First Draft. 
Thus there are </t>
        </r>
        <r>
          <rPr>
            <u/>
            <sz val="8"/>
            <color indexed="81"/>
            <rFont val="Tahoma"/>
            <family val="2"/>
          </rPr>
          <t>4 variables</t>
        </r>
        <r>
          <rPr>
            <sz val="8"/>
            <color indexed="81"/>
            <rFont val="Tahoma"/>
            <family val="2"/>
          </rPr>
          <t xml:space="preserve"> affecting the "Years to Complete this Project" calculation, a change in any of them will change the total. Those 4 are:
1. Total Verses in Project
2. Stage Percentage figures at the top of each Stage column (they must total 100%)
     (the following two are part of this "Quick Calculator")
3. "Average Work Days per Year" 
4. "Team Verses Drafted per Day"
Keep in mind the Quick Calculator uses the "Total Verses in Project" number and adjusts it to compensate for Level of Difficulty, thus more difficult books (higher than Level 3) will require more time to complete.
</t>
        </r>
        <r>
          <rPr>
            <u/>
            <sz val="8"/>
            <color indexed="81"/>
            <rFont val="Tahoma"/>
            <family val="2"/>
          </rPr>
          <t>NOTE:</t>
        </r>
        <r>
          <rPr>
            <sz val="8"/>
            <color indexed="81"/>
            <rFont val="Tahoma"/>
            <family val="2"/>
          </rPr>
          <t xml:space="preserve"> This calculator willl only work with </t>
        </r>
        <r>
          <rPr>
            <u/>
            <sz val="8"/>
            <color indexed="81"/>
            <rFont val="Tahoma"/>
            <family val="2"/>
          </rPr>
          <t>new</t>
        </r>
        <r>
          <rPr>
            <sz val="8"/>
            <color indexed="81"/>
            <rFont val="Tahoma"/>
            <family val="2"/>
          </rPr>
          <t xml:space="preserve"> projects where no work has yet been done.  Or if work has begun, the years for the work accomplished cannot be entered into the spreadsheet. </t>
        </r>
        <r>
          <rPr>
            <u/>
            <sz val="8"/>
            <color indexed="81"/>
            <rFont val="Tahoma"/>
            <family val="2"/>
          </rPr>
          <t>All dates must be in the future</t>
        </r>
        <r>
          <rPr>
            <sz val="8"/>
            <color indexed="81"/>
            <rFont val="Tahoma"/>
            <family val="2"/>
          </rPr>
          <t xml:space="preserve"> for this calculator to work.  
This applies </t>
        </r>
        <r>
          <rPr>
            <u/>
            <sz val="8"/>
            <color indexed="81"/>
            <rFont val="Tahoma"/>
            <family val="2"/>
          </rPr>
          <t>only</t>
        </r>
        <r>
          <rPr>
            <sz val="8"/>
            <color indexed="81"/>
            <rFont val="Tahoma"/>
            <family val="2"/>
          </rPr>
          <t xml:space="preserve"> to this calculator, not to the remainder of the spreadsheet functions where you </t>
        </r>
        <r>
          <rPr>
            <u/>
            <sz val="8"/>
            <color indexed="81"/>
            <rFont val="Tahoma"/>
            <family val="2"/>
          </rPr>
          <t>can</t>
        </r>
        <r>
          <rPr>
            <sz val="8"/>
            <color indexed="81"/>
            <rFont val="Tahoma"/>
            <family val="2"/>
          </rPr>
          <t xml:space="preserve"> enter years for work done in previous years.</t>
        </r>
      </text>
    </comment>
    <comment ref="V90" authorId="0">
      <text>
        <r>
          <rPr>
            <sz val="8"/>
            <color indexed="81"/>
            <rFont val="Tahoma"/>
            <family val="2"/>
          </rPr>
          <t xml:space="preserve">The numbers you enter in this column </t>
        </r>
        <r>
          <rPr>
            <u/>
            <sz val="8"/>
            <color indexed="81"/>
            <rFont val="Tahoma"/>
            <family val="2"/>
          </rPr>
          <t>will</t>
        </r>
        <r>
          <rPr>
            <sz val="8"/>
            <color indexed="81"/>
            <rFont val="Tahoma"/>
            <family val="2"/>
          </rPr>
          <t xml:space="preserve"> be included in the calculations for the "Days Req'd to Finish" column in the Planning Inputs section. 
This will assist in your planning so that you do not schedule too much work in any given year.</t>
        </r>
      </text>
    </comment>
    <comment ref="AE114" authorId="0">
      <text>
        <r>
          <rPr>
            <sz val="8"/>
            <color indexed="81"/>
            <rFont val="Tahoma"/>
            <family val="2"/>
          </rPr>
          <t>This is calculated by dividing the "Days to Finish" number above, by the average number of workdays you indicated the team will work each year in the green "Work Days per Year" column in the Inputs section at the upper left of this page.
   Example:
If the Days to Finish is 432, and the average Workdays per year is 208, this "Years to Finish" cell will display 2.1
   432/208=2.076</t>
        </r>
      </text>
    </comment>
  </commentList>
</comments>
</file>

<file path=xl/comments2.xml><?xml version="1.0" encoding="utf-8"?>
<comments xmlns="http://schemas.openxmlformats.org/spreadsheetml/2006/main">
  <authors>
    <author>HG</author>
    <author>Harold Good</author>
  </authors>
  <commentList>
    <comment ref="P17" authorId="0">
      <text>
        <r>
          <rPr>
            <sz val="8"/>
            <color indexed="81"/>
            <rFont val="Tahoma"/>
            <family val="2"/>
          </rPr>
          <t xml:space="preserve">Dark green shading indicates work </t>
        </r>
        <r>
          <rPr>
            <u/>
            <sz val="8"/>
            <color indexed="81"/>
            <rFont val="Tahoma"/>
            <family val="2"/>
          </rPr>
          <t>scheduled</t>
        </r>
        <r>
          <rPr>
            <sz val="8"/>
            <color indexed="81"/>
            <rFont val="Tahoma"/>
            <family val="2"/>
          </rPr>
          <t xml:space="preserve"> on the </t>
        </r>
        <r>
          <rPr>
            <u/>
            <sz val="8"/>
            <color indexed="81"/>
            <rFont val="Tahoma"/>
            <family val="2"/>
          </rPr>
          <t>Planning</t>
        </r>
        <r>
          <rPr>
            <sz val="8"/>
            <color indexed="81"/>
            <rFont val="Tahoma"/>
            <family val="2"/>
          </rPr>
          <t xml:space="preserve"> page to be done in the selected Year.
Bright green shading indicates work </t>
        </r>
        <r>
          <rPr>
            <u/>
            <sz val="8"/>
            <color indexed="81"/>
            <rFont val="Tahoma"/>
            <family val="2"/>
          </rPr>
          <t>finished</t>
        </r>
        <r>
          <rPr>
            <sz val="8"/>
            <color indexed="81"/>
            <rFont val="Tahoma"/>
            <family val="2"/>
          </rPr>
          <t xml:space="preserve"> in the selected Quarter and Year.tp</t>
        </r>
      </text>
    </comment>
    <comment ref="AR17" authorId="1">
      <text>
        <r>
          <rPr>
            <sz val="10"/>
            <color indexed="81"/>
            <rFont val="Tahoma"/>
            <family val="2"/>
          </rPr>
          <t>Don't delete. This is the Verse Equivlant.</t>
        </r>
      </text>
    </comment>
    <comment ref="P18" authorId="1">
      <text>
        <r>
          <rPr>
            <sz val="12"/>
            <color indexed="81"/>
            <rFont val="Tahoma"/>
            <family val="2"/>
          </rPr>
          <t xml:space="preserve">Important: Please update the Quarter and Year every quarter before sending to TSC.
</t>
        </r>
      </text>
    </comment>
    <comment ref="AA18" authorId="1">
      <text>
        <r>
          <rPr>
            <sz val="12"/>
            <color indexed="81"/>
            <rFont val="Tahoma"/>
            <family val="2"/>
          </rPr>
          <t>Enter the Quarter covered by this Quarterly report from the Drop Down options.
Oct-Dec = Q1
Jan-Mar  = Q2
Apr-Jun  = Q3
Jul-Sep   = Q4</t>
        </r>
      </text>
    </comment>
    <comment ref="AB18" authorId="1">
      <text>
        <r>
          <rPr>
            <sz val="12"/>
            <color indexed="81"/>
            <rFont val="Tahoma"/>
            <family val="2"/>
          </rPr>
          <t>Enter the Year covered by this Quarterly report from the Drop Down options.</t>
        </r>
      </text>
    </comment>
    <comment ref="AN18" authorId="1">
      <text>
        <r>
          <rPr>
            <sz val="8"/>
            <color indexed="81"/>
            <rFont val="Tahoma"/>
            <family val="2"/>
          </rPr>
          <t xml:space="preserve">The percentages in this column are from the </t>
        </r>
        <r>
          <rPr>
            <b/>
            <sz val="8"/>
            <color indexed="81"/>
            <rFont val="Tahoma"/>
            <family val="2"/>
          </rPr>
          <t>Planning</t>
        </r>
        <r>
          <rPr>
            <sz val="8"/>
            <color indexed="81"/>
            <rFont val="Tahoma"/>
            <family val="2"/>
          </rPr>
          <t xml:space="preserve"> page.</t>
        </r>
      </text>
    </comment>
    <comment ref="AR18" authorId="1">
      <text>
        <r>
          <rPr>
            <sz val="10"/>
            <color indexed="81"/>
            <rFont val="Tahoma"/>
            <family val="2"/>
          </rPr>
          <t xml:space="preserve">Do Not Delete!
This cell is a swtich. VBA code switches it between a 1 and a 2 to determine what is displayed in the 4 Q columns to the left.
</t>
        </r>
      </text>
    </comment>
    <comment ref="AS18" authorId="1">
      <text>
        <r>
          <rPr>
            <sz val="10"/>
            <color indexed="81"/>
            <rFont val="Tahoma"/>
            <family val="2"/>
          </rPr>
          <t>Cumulative Progress Actual
   This is an important calcuation for BH19. It keeps a percentage figure all the time irregardless of whether Percentage or Verse Equivalent are selected.</t>
        </r>
      </text>
    </comment>
    <comment ref="BH18" authorId="0">
      <text>
        <r>
          <rPr>
            <sz val="8"/>
            <color indexed="81"/>
            <rFont val="Tahoma"/>
            <family val="2"/>
          </rPr>
          <t>This is the max year entered in the 6 Stages of the Plan. It is used to detemine the Years that appear in the Lists for dropdown lists.</t>
        </r>
      </text>
    </comment>
    <comment ref="R19" authorId="1">
      <text>
        <r>
          <rPr>
            <sz val="10"/>
            <color indexed="81"/>
            <rFont val="Tahoma"/>
            <family val="2"/>
          </rPr>
          <t xml:space="preserve">This </t>
        </r>
        <r>
          <rPr>
            <u/>
            <sz val="10"/>
            <color indexed="81"/>
            <rFont val="Tahoma"/>
            <family val="2"/>
          </rPr>
          <t>includes</t>
        </r>
        <r>
          <rPr>
            <sz val="10"/>
            <color indexed="81"/>
            <rFont val="Tahoma"/>
            <family val="2"/>
          </rPr>
          <t xml:space="preserve"> the completion of the Exegetical Check. Therefore, please do not indicate this First Draft stage is completed until the Exegetical Check has been completed.</t>
        </r>
      </text>
    </comment>
    <comment ref="T19" authorId="1">
      <text>
        <r>
          <rPr>
            <sz val="10"/>
            <color indexed="81"/>
            <rFont val="Tahoma"/>
            <family val="2"/>
          </rPr>
          <t>This may also be known as Committee Check.</t>
        </r>
      </text>
    </comment>
    <comment ref="V19" authorId="1">
      <text>
        <r>
          <rPr>
            <sz val="10"/>
            <color indexed="81"/>
            <rFont val="Tahoma"/>
            <family val="2"/>
          </rPr>
          <t>This may also be known as Village Testing or Comprehension Testing.</t>
        </r>
      </text>
    </comment>
    <comment ref="AB19" authorId="1">
      <text>
        <r>
          <rPr>
            <sz val="10"/>
            <color indexed="81"/>
            <rFont val="Tahoma"/>
            <family val="2"/>
          </rPr>
          <t>This Published phase includes:
- Consistency Check
- Other final Checks
- Final Publishing</t>
        </r>
      </text>
    </comment>
    <comment ref="AR19" authorId="1">
      <text>
        <r>
          <rPr>
            <sz val="10"/>
            <color indexed="81"/>
            <rFont val="Tahoma"/>
            <family val="2"/>
          </rPr>
          <t>The cells below always show the percentage of project completed.</t>
        </r>
      </text>
    </comment>
    <comment ref="AV19" authorId="1">
      <text>
        <r>
          <rPr>
            <sz val="10"/>
            <color indexed="81"/>
            <rFont val="Tahoma"/>
            <family val="2"/>
          </rPr>
          <t>This is the Begin Date of Cuirrent Phase. It is here for Conditional Formatting.</t>
        </r>
      </text>
    </comment>
    <comment ref="BH19" authorId="0">
      <text>
        <r>
          <rPr>
            <sz val="8"/>
            <color indexed="81"/>
            <rFont val="Tahoma"/>
            <family val="2"/>
          </rPr>
          <t>This column is for calculating the Projected year of completion. This cell is the final calculation for AF41.</t>
        </r>
      </text>
    </comment>
    <comment ref="AV20" authorId="1">
      <text>
        <r>
          <rPr>
            <sz val="10"/>
            <color indexed="81"/>
            <rFont val="Tahoma"/>
            <family val="2"/>
          </rPr>
          <t>This is the End Date of Cuirrent Phase. It is here for Conditional Formatting.</t>
        </r>
      </text>
    </comment>
    <comment ref="BH20" authorId="0">
      <text>
        <r>
          <rPr>
            <sz val="8"/>
            <color indexed="81"/>
            <rFont val="Tahoma"/>
            <family val="2"/>
          </rPr>
          <t>This converts the Planning, Year Begun, to a 4 digit number.</t>
        </r>
      </text>
    </comment>
    <comment ref="BH21" authorId="0">
      <text>
        <r>
          <rPr>
            <sz val="8"/>
            <color indexed="81"/>
            <rFont val="Tahoma"/>
            <family val="2"/>
          </rPr>
          <t>This is a midstep in converting the Planning, Month, into quarter. This is a figure to be used below in converting  month to quarter. There is a small fraction at the end of the formula for leap year.</t>
        </r>
      </text>
    </comment>
    <comment ref="R22" authorId="0">
      <text>
        <r>
          <rPr>
            <sz val="8"/>
            <color indexed="81"/>
            <rFont val="Tahoma"/>
            <family val="2"/>
          </rPr>
          <t>This is the percent of First Draft work in this Stage that is complete.
E.g.  When you have all the work in this column (Stage) complete, this number will read 100%.  The same is true for all six Stages.</t>
        </r>
      </text>
    </comment>
    <comment ref="BH22" authorId="0">
      <text>
        <r>
          <rPr>
            <sz val="8"/>
            <color indexed="81"/>
            <rFont val="Tahoma"/>
            <family val="2"/>
          </rPr>
          <t xml:space="preserve">This takes the Planning, "Date Project Begun with TSC" month and converts it to Quarter 1, 2, 3 or 4. </t>
        </r>
      </text>
    </comment>
    <comment ref="BH23" authorId="0">
      <text>
        <r>
          <rPr>
            <sz val="8"/>
            <color indexed="81"/>
            <rFont val="Tahoma"/>
            <family val="2"/>
          </rPr>
          <t>Beginning Year,Quarter
Adjusts the year so that Oct-Dec appears as be Q1.</t>
        </r>
      </text>
    </comment>
    <comment ref="BH24" authorId="0">
      <text>
        <r>
          <rPr>
            <sz val="8"/>
            <color indexed="81"/>
            <rFont val="Tahoma"/>
            <family val="2"/>
          </rPr>
          <t>Current Year,Quarter
This is the most recent year and quarter being reported. Comes from the Reporting Quarter cell.</t>
        </r>
      </text>
    </comment>
    <comment ref="BH25" authorId="0">
      <text>
        <r>
          <rPr>
            <sz val="8"/>
            <color indexed="81"/>
            <rFont val="Tahoma"/>
            <family val="2"/>
          </rPr>
          <t>This is the number of quarters the project has been sponsored by TSC.</t>
        </r>
      </text>
    </comment>
    <comment ref="AF40" authorId="0">
      <text>
        <r>
          <rPr>
            <sz val="8"/>
            <color indexed="81"/>
            <rFont val="Tahoma"/>
            <family val="2"/>
          </rPr>
          <t>This is taken from the Planning page, "Calculated Year of Completion".
   It is based solely on the numbers you entered into the Planning page, it has nothing to do with progress indicated on this Progress page.</t>
        </r>
      </text>
    </comment>
    <comment ref="AF41" authorId="0">
      <text>
        <r>
          <rPr>
            <sz val="8"/>
            <color indexed="81"/>
            <rFont val="Tahoma"/>
            <family val="2"/>
          </rPr>
          <t xml:space="preserve">     This is calculated by averaging the previous 12 quarters' Progress, then projecting forward at that averaged rate until the project is 100% complete.
     If the project is less than three years since TSC sponsored it, this is indicated here by the message "Insuf. Data", because a minimum of 12 quarters is required for this calculation.
     The </t>
        </r>
        <r>
          <rPr>
            <u/>
            <sz val="8"/>
            <color indexed="81"/>
            <rFont val="Tahoma"/>
            <family val="2"/>
          </rPr>
          <t>begin</t>
        </r>
        <r>
          <rPr>
            <sz val="8"/>
            <color indexed="81"/>
            <rFont val="Tahoma"/>
            <family val="2"/>
          </rPr>
          <t xml:space="preserve"> date for this calculation is taken from the Planning page,  "Date Project Begun with TSC". The Progress page "Reporting Quarter" is used for counting counting backwards 12 quarters.
</t>
        </r>
      </text>
    </comment>
    <comment ref="AL41" authorId="1">
      <text>
        <r>
          <rPr>
            <sz val="10"/>
            <color indexed="81"/>
            <rFont val="Tahoma"/>
            <family val="2"/>
          </rPr>
          <t>This is based on the Actual Progress made over the past 8 quarters.</t>
        </r>
      </text>
    </comment>
    <comment ref="P89" authorId="0">
      <text>
        <r>
          <rPr>
            <sz val="8"/>
            <color indexed="81"/>
            <rFont val="Tahoma"/>
            <family val="2"/>
          </rPr>
          <t xml:space="preserve">Although these days on the Planning page were included as days of work that needed to be done, so as to aid you in allocating your time for each year, they are </t>
        </r>
        <r>
          <rPr>
            <u/>
            <sz val="8"/>
            <color indexed="81"/>
            <rFont val="Tahoma"/>
            <family val="2"/>
          </rPr>
          <t>not</t>
        </r>
        <r>
          <rPr>
            <sz val="8"/>
            <color indexed="81"/>
            <rFont val="Tahoma"/>
            <family val="2"/>
          </rPr>
          <t xml:space="preserve"> included as a percentage of the translation project needing to be accomplished. Therefore they do not increase the Percent Completed on this page when these cells are filled in.</t>
        </r>
      </text>
    </comment>
  </commentList>
</comments>
</file>

<file path=xl/comments3.xml><?xml version="1.0" encoding="utf-8"?>
<comments xmlns="http://schemas.openxmlformats.org/spreadsheetml/2006/main">
  <authors>
    <author>Harold Good</author>
  </authors>
  <commentList>
    <comment ref="F77" authorId="0">
      <text>
        <r>
          <rPr>
            <sz val="10"/>
            <color indexed="81"/>
            <rFont val="Tahoma"/>
            <family val="2"/>
          </rPr>
          <t xml:space="preserve">   Some versions have a 15th verse in 3 John. This count includes only 14 verses.
   For further details click the Source hyperlink at the top.</t>
        </r>
      </text>
    </comment>
  </commentList>
</comments>
</file>

<file path=xl/sharedStrings.xml><?xml version="1.0" encoding="utf-8"?>
<sst xmlns="http://schemas.openxmlformats.org/spreadsheetml/2006/main" count="317" uniqueCount="211">
  <si>
    <t>Verse Equivalents Finished</t>
  </si>
  <si>
    <t>Cumulative</t>
  </si>
  <si>
    <t xml:space="preserve">Reporting Quarter:  </t>
  </si>
  <si>
    <t>Q4</t>
  </si>
  <si>
    <t>Verse Equivalents in Project     =======&gt;</t>
  </si>
  <si>
    <t>Q1</t>
  </si>
  <si>
    <t>Q2</t>
  </si>
  <si>
    <t>Q3</t>
  </si>
  <si>
    <t>YTD Planned</t>
  </si>
  <si>
    <t>YTD Actual</t>
  </si>
  <si>
    <t>Progress Planned</t>
  </si>
  <si>
    <t>Progress Actual</t>
  </si>
  <si>
    <t>Variance</t>
  </si>
  <si>
    <t>=IF(SUM(BL27:BL106)=0,0,LEFT(OFFSET(BH27,MATCH(MAX(BL27:BL106),BL27:BL106,0)-1,),4)*1)   This formula was in cell BH18 until 28Dec12. I then removed it because it caused rare errors and replaced it with the simpler formula now in BH18. hg</t>
  </si>
  <si>
    <t>Progress</t>
  </si>
  <si>
    <t>Books</t>
  </si>
  <si>
    <t xml:space="preserve">          Work done prior to TSC sponsorship: ====&gt;</t>
  </si>
  <si>
    <t>Percent completed</t>
  </si>
  <si>
    <t>DO NOT DELETE    This info is for the graph</t>
  </si>
  <si>
    <t>Current Report</t>
  </si>
  <si>
    <t>Past 12 months</t>
  </si>
  <si>
    <t>Past 24 months</t>
  </si>
  <si>
    <t>Past 36 months</t>
  </si>
  <si>
    <t>Cumulative Beginning to Date</t>
  </si>
  <si>
    <t xml:space="preserve">Fiscal Year: </t>
  </si>
  <si>
    <t>Year</t>
  </si>
  <si>
    <t>Qtr</t>
  </si>
  <si>
    <t>Planned</t>
  </si>
  <si>
    <t>Actual</t>
  </si>
  <si>
    <t>Project Name</t>
  </si>
  <si>
    <t>Spreadsheet Rev Date</t>
  </si>
  <si>
    <t>Plan Revision Date</t>
  </si>
  <si>
    <t>Date Begun with TSC</t>
  </si>
  <si>
    <t>Percent Planned</t>
  </si>
  <si>
    <t>Current Quarter</t>
  </si>
  <si>
    <t>Current Year</t>
  </si>
  <si>
    <t xml:space="preserve">Percent </t>
  </si>
  <si>
    <t>VE</t>
  </si>
  <si>
    <t>Percent</t>
  </si>
  <si>
    <t>Percent Actual</t>
  </si>
  <si>
    <t>VE Planned</t>
  </si>
  <si>
    <t>VE Actual</t>
  </si>
  <si>
    <t>This data must be on this page for Progress - Conditional Formatting to work properly</t>
  </si>
  <si>
    <t>Qtr prorated</t>
  </si>
  <si>
    <t>Planned Cumm.</t>
  </si>
  <si>
    <t>Qtr Actual</t>
  </si>
  <si>
    <t>Qtr Cumm-lative</t>
  </si>
  <si>
    <t>Year Begun with TSC</t>
  </si>
  <si>
    <t>Planned Year of Completion</t>
  </si>
  <si>
    <t xml:space="preserve">Current Quarter Progress </t>
  </si>
  <si>
    <t>Calculated Year of Completion</t>
  </si>
  <si>
    <t>Cumulative Progress Actual:</t>
  </si>
  <si>
    <t>Projected Year of Completion</t>
  </si>
  <si>
    <t>Avg Progress/Year:</t>
  </si>
  <si>
    <t>Other Goals and Milestones</t>
  </si>
  <si>
    <r>
      <t xml:space="preserve">Notes   </t>
    </r>
    <r>
      <rPr>
        <i/>
        <sz val="10"/>
        <rFont val="Arial"/>
        <family val="2"/>
      </rPr>
      <t>(Alt+Enter begins new row)</t>
    </r>
  </si>
  <si>
    <t>Total Verses Per Chapter</t>
  </si>
  <si>
    <t>Click to Summary</t>
  </si>
  <si>
    <t>Click to Matthew</t>
  </si>
  <si>
    <t xml:space="preserve">Source: </t>
  </si>
  <si>
    <t>http://www.deafmissions.com/tally/bkchptrvrs.html</t>
  </si>
  <si>
    <t>Click to Genesis</t>
  </si>
  <si>
    <t>Genesis</t>
  </si>
  <si>
    <t>Exodus</t>
  </si>
  <si>
    <t>Leviticus</t>
  </si>
  <si>
    <t>Numbers</t>
  </si>
  <si>
    <t>Dueteronomy</t>
  </si>
  <si>
    <t>Joshua</t>
  </si>
  <si>
    <t>Judges</t>
  </si>
  <si>
    <t>Ruth</t>
  </si>
  <si>
    <t>1 Samuel</t>
  </si>
  <si>
    <t>2 Samuel</t>
  </si>
  <si>
    <t>1 Kings</t>
  </si>
  <si>
    <t>2 Kings</t>
  </si>
  <si>
    <t>1 Chronicles</t>
  </si>
  <si>
    <t>2 Chronicles</t>
  </si>
  <si>
    <t>Ezra</t>
  </si>
  <si>
    <t>Nehemiah</t>
  </si>
  <si>
    <t>Esther</t>
  </si>
  <si>
    <t>Job</t>
  </si>
  <si>
    <t>Psalms</t>
  </si>
  <si>
    <t>Proverbs</t>
  </si>
  <si>
    <t>Ecclesiastes</t>
  </si>
  <si>
    <t>Song of Songs</t>
  </si>
  <si>
    <t>Isaiah</t>
  </si>
  <si>
    <t>Jeremiah</t>
  </si>
  <si>
    <t>Lamentations</t>
  </si>
  <si>
    <t>Ezekiel</t>
  </si>
  <si>
    <t>Daniel</t>
  </si>
  <si>
    <t>Hosea</t>
  </si>
  <si>
    <t>Joel</t>
  </si>
  <si>
    <t>Amos</t>
  </si>
  <si>
    <t>Obadiah</t>
  </si>
  <si>
    <t>Jonah</t>
  </si>
  <si>
    <t>Micah</t>
  </si>
  <si>
    <t>Nahum</t>
  </si>
  <si>
    <t>Habakkuk</t>
  </si>
  <si>
    <t>Zephaniah</t>
  </si>
  <si>
    <t>Haggai</t>
  </si>
  <si>
    <t>Zechariah</t>
  </si>
  <si>
    <t>Malachi</t>
  </si>
  <si>
    <t>Matthew</t>
  </si>
  <si>
    <t>Mark</t>
  </si>
  <si>
    <t>Luke</t>
  </si>
  <si>
    <t>John</t>
  </si>
  <si>
    <t>Acts</t>
  </si>
  <si>
    <t>Romans</t>
  </si>
  <si>
    <t>1 Corinthians</t>
  </si>
  <si>
    <t>2 Corinthians</t>
  </si>
  <si>
    <t>Galatians</t>
  </si>
  <si>
    <t>Ephesians</t>
  </si>
  <si>
    <t>Philippians</t>
  </si>
  <si>
    <t>Colossians</t>
  </si>
  <si>
    <t>1 Thess</t>
  </si>
  <si>
    <t>2 Thess</t>
  </si>
  <si>
    <t>1 Timothy</t>
  </si>
  <si>
    <t>2 Timothy</t>
  </si>
  <si>
    <t>Titus</t>
  </si>
  <si>
    <t>Philemon</t>
  </si>
  <si>
    <t>Hebrews</t>
  </si>
  <si>
    <t>James</t>
  </si>
  <si>
    <t>1 Peter</t>
  </si>
  <si>
    <t>2 Peter</t>
  </si>
  <si>
    <t>1 John</t>
  </si>
  <si>
    <t>2 John</t>
  </si>
  <si>
    <t>3 John</t>
  </si>
  <si>
    <t>Jude</t>
  </si>
  <si>
    <t>Revelation</t>
  </si>
  <si>
    <t>Verses in Bible</t>
  </si>
  <si>
    <t>Chapters in Bible</t>
  </si>
  <si>
    <t>Chapters in OT</t>
  </si>
  <si>
    <t>Summary</t>
  </si>
  <si>
    <t>Chapters in NT</t>
  </si>
  <si>
    <t>Verses in OT</t>
  </si>
  <si>
    <t>Verses in NT</t>
  </si>
  <si>
    <t>Click to Top</t>
  </si>
  <si>
    <t>Planning Inputs Section</t>
  </si>
  <si>
    <t>Rev:</t>
  </si>
  <si>
    <t>Inputs</t>
  </si>
  <si>
    <t>Name of Project</t>
  </si>
  <si>
    <t>Book List Selector</t>
  </si>
  <si>
    <t>Date Translation Begun with TSC:</t>
  </si>
  <si>
    <t>Last Plan Revision Date</t>
  </si>
  <si>
    <t>NT</t>
  </si>
  <si>
    <t>Begin Date of Current Phase:</t>
  </si>
  <si>
    <t>Project Fiscal Years</t>
  </si>
  <si>
    <t>Num-ber of MTTs</t>
  </si>
  <si>
    <r>
      <t>Team</t>
    </r>
    <r>
      <rPr>
        <b/>
        <sz val="10"/>
        <rFont val="Times New Roman"/>
        <family val="1"/>
      </rPr>
      <t xml:space="preserve"> Verses Drafted per Day</t>
    </r>
  </si>
  <si>
    <t>Work Days per Year</t>
  </si>
  <si>
    <t>Days Req'd to Finish Goals</t>
  </si>
  <si>
    <t>End Date of Current Phase:</t>
  </si>
  <si>
    <t>Days Required Table</t>
  </si>
  <si>
    <t>My Notes</t>
  </si>
  <si>
    <t>N14 =</t>
  </si>
  <si>
    <t>View Plan for Year . . .</t>
  </si>
  <si>
    <t>Team days to complete each Stage</t>
  </si>
  <si>
    <t>Level of 
Diffi-culty</t>
  </si>
  <si>
    <t>Verses in Book</t>
  </si>
  <si>
    <t>Verses in this Project</t>
  </si>
  <si>
    <t>Stage Percentage</t>
  </si>
  <si>
    <t>First Draft</t>
  </si>
  <si>
    <t>Team Check</t>
  </si>
  <si>
    <t>Community Testing</t>
  </si>
  <si>
    <t>Back Translation</t>
  </si>
  <si>
    <t>Consultant Check</t>
  </si>
  <si>
    <t>Published</t>
  </si>
  <si>
    <t>Total Team Days</t>
  </si>
  <si>
    <t>actual - this is the actual number of days to complete the selected work in a given year, it is taken from the Days Req'd table</t>
  </si>
  <si>
    <t>this column is the cumulative excess days from previous years of overscheduling, but if a date is entered in N14, this column begins calculating at that year and leaves earlier years as a zero.</t>
  </si>
  <si>
    <t>this column converts numbers from the 'Project Fiscal Years' column into fiscal years, so this number is Oct 1 of the Fiscal Year</t>
  </si>
  <si>
    <t>Exegesis &amp; First Draft</t>
  </si>
  <si>
    <t>Advisor check and back transaltion</t>
  </si>
  <si>
    <t>community testing</t>
  </si>
  <si>
    <t>Con-sultant Check</t>
  </si>
  <si>
    <t>Pub-lished</t>
  </si>
  <si>
    <t>Scroll &amp; Zoom</t>
  </si>
  <si>
    <t>Below are values used in the Bar Chart</t>
  </si>
  <si>
    <t>Years to Finish:</t>
  </si>
  <si>
    <t>the reason the Days Req'd cummulative total differs from the Actual total, is because it is the difference of the Excess each year. The sum of Days Req'd will NOT match the sum of Actual. The Excess is lost, it has done it's job to guide the project within the Yellow 5% guide for that year. That's all it does, it is not meant to total together.</t>
  </si>
  <si>
    <t>Calculated Year of Completion:</t>
  </si>
  <si>
    <t>Calculated Completion Year:</t>
  </si>
  <si>
    <t>Shortcuts</t>
  </si>
  <si>
    <t>Ctrl-D</t>
  </si>
  <si>
    <t>Fill down</t>
  </si>
  <si>
    <r>
      <t xml:space="preserve">To copy cells </t>
    </r>
    <r>
      <rPr>
        <u/>
        <sz val="10"/>
        <rFont val="Times New Roman"/>
        <family val="1"/>
      </rPr>
      <t>without</t>
    </r>
    <r>
      <rPr>
        <sz val="10"/>
        <rFont val="Times New Roman"/>
        <family val="1"/>
      </rPr>
      <t xml:space="preserve"> copying the formatting, select the cell(s), then Ctrl-C (to copy), then select the target cell(s) and do "ALT+e,s,v".  This will copy the cell </t>
    </r>
    <r>
      <rPr>
        <u/>
        <sz val="10"/>
        <rFont val="Times New Roman"/>
        <family val="1"/>
      </rPr>
      <t>value</t>
    </r>
    <r>
      <rPr>
        <sz val="10"/>
        <rFont val="Times New Roman"/>
        <family val="1"/>
      </rPr>
      <t xml:space="preserve"> only, without the accompanying cell </t>
    </r>
    <r>
      <rPr>
        <u/>
        <sz val="10"/>
        <rFont val="Times New Roman"/>
        <family val="1"/>
      </rPr>
      <t>format.</t>
    </r>
    <r>
      <rPr>
        <sz val="10"/>
        <rFont val="Times New Roman"/>
        <family val="1"/>
      </rPr>
      <t xml:space="preserve"> This is helpful when copying from one spreadsheet to another so as to not destroy the original formatting of the target cell.</t>
    </r>
  </si>
  <si>
    <t>Ctrl-R</t>
  </si>
  <si>
    <t>Fill right</t>
  </si>
  <si>
    <t>Ctrl-C</t>
  </si>
  <si>
    <t>Copy</t>
  </si>
  <si>
    <t>Ctrl-V</t>
  </si>
  <si>
    <t>Paste</t>
  </si>
  <si>
    <t>Ctrl-Z</t>
  </si>
  <si>
    <t>Undo</t>
  </si>
  <si>
    <t>Ctrl-Y</t>
  </si>
  <si>
    <t>Redo</t>
  </si>
  <si>
    <t>Quick Calculator</t>
  </si>
  <si>
    <t xml:space="preserve">Average Work Days per Year: </t>
  </si>
  <si>
    <t xml:space="preserve">Team Verses Drafted per Day: </t>
  </si>
  <si>
    <t xml:space="preserve"> Average Verse Equivalents per Year: </t>
  </si>
  <si>
    <t xml:space="preserve">Years to Complete this Project: </t>
  </si>
  <si>
    <t>Team days to complete other goals</t>
  </si>
  <si>
    <t>Goal Description</t>
  </si>
  <si>
    <t>Team Days of Work</t>
  </si>
  <si>
    <t>Planned for Year</t>
  </si>
  <si>
    <t>Audio Recording one selection</t>
  </si>
  <si>
    <t>Scripture In Use Training</t>
  </si>
  <si>
    <t>Literacy Review &amp; Planning</t>
  </si>
  <si>
    <t>Recording of Jesus Film</t>
  </si>
  <si>
    <r>
      <t xml:space="preserve">Notes       </t>
    </r>
    <r>
      <rPr>
        <i/>
        <sz val="10"/>
        <rFont val="Times New Roman"/>
        <family val="1"/>
      </rPr>
      <t>(Alt+Enter begins new row)</t>
    </r>
  </si>
  <si>
    <t>Days to Finish:</t>
  </si>
  <si>
    <t>MEP</t>
  </si>
</sst>
</file>

<file path=xl/styles.xml><?xml version="1.0" encoding="utf-8"?>
<styleSheet xmlns="http://schemas.openxmlformats.org/spreadsheetml/2006/main" xmlns:mc="http://schemas.openxmlformats.org/markup-compatibility/2006" xmlns:x14ac="http://schemas.microsoft.com/office/spreadsheetml/2009/9/ac" mc:Ignorable="x14ac">
  <numFmts count="12">
    <numFmt numFmtId="164" formatCode="0.0%"/>
    <numFmt numFmtId="165" formatCode="0.0"/>
    <numFmt numFmtId="166" formatCode="0;\-0;;@"/>
    <numFmt numFmtId="167" formatCode="[$-409]d\-mmm\-yy;@"/>
    <numFmt numFmtId="168" formatCode="#,##0.0"/>
    <numFmt numFmtId="169" formatCode="0.000"/>
    <numFmt numFmtId="170" formatCode="[$-409]mmm\-yy;@"/>
    <numFmt numFmtId="171" formatCode="mmm\-yyyy"/>
    <numFmt numFmtId="172" formatCode="0.000000000000000000000000000000"/>
    <numFmt numFmtId="173" formatCode="[$-409]d/mmm/yy;@"/>
    <numFmt numFmtId="174" formatCode="yyyy"/>
    <numFmt numFmtId="175" formatCode="##0;;"/>
  </numFmts>
  <fonts count="46" x14ac:knownFonts="1">
    <font>
      <sz val="11"/>
      <color theme="1"/>
      <name val="Calibri"/>
      <family val="2"/>
      <scheme val="minor"/>
    </font>
    <font>
      <sz val="10"/>
      <name val="Arial"/>
      <family val="2"/>
    </font>
    <font>
      <b/>
      <sz val="20"/>
      <name val="Times New Roman"/>
      <family val="1"/>
    </font>
    <font>
      <b/>
      <sz val="16"/>
      <name val="Times New Roman"/>
      <family val="1"/>
    </font>
    <font>
      <b/>
      <sz val="20"/>
      <color indexed="9"/>
      <name val="Times New Roman"/>
      <family val="1"/>
    </font>
    <font>
      <b/>
      <sz val="20"/>
      <color indexed="10"/>
      <name val="Times New Roman"/>
      <family val="1"/>
    </font>
    <font>
      <b/>
      <sz val="10"/>
      <name val="Times New Roman"/>
      <family val="1"/>
    </font>
    <font>
      <b/>
      <sz val="14"/>
      <color rgb="FF000080"/>
      <name val="Arial"/>
      <family val="2"/>
    </font>
    <font>
      <b/>
      <sz val="10"/>
      <name val="Arial"/>
      <family val="2"/>
    </font>
    <font>
      <b/>
      <sz val="14"/>
      <name val="Arial"/>
      <family val="2"/>
    </font>
    <font>
      <b/>
      <sz val="14"/>
      <color theme="1"/>
      <name val="Calibri"/>
      <family val="2"/>
      <scheme val="minor"/>
    </font>
    <font>
      <b/>
      <sz val="10"/>
      <color indexed="18"/>
      <name val="Times New Roman"/>
      <family val="1"/>
    </font>
    <font>
      <b/>
      <sz val="10"/>
      <color indexed="17"/>
      <name val="Times New Roman"/>
      <family val="1"/>
    </font>
    <font>
      <sz val="10"/>
      <color indexed="18"/>
      <name val="Times New Roman"/>
      <family val="1"/>
    </font>
    <font>
      <sz val="10"/>
      <name val="Times New Roman"/>
      <family val="1"/>
    </font>
    <font>
      <b/>
      <sz val="10"/>
      <color indexed="18"/>
      <name val="Arial"/>
      <family val="2"/>
    </font>
    <font>
      <sz val="10"/>
      <color indexed="43"/>
      <name val="Arial"/>
      <family val="2"/>
    </font>
    <font>
      <i/>
      <sz val="10"/>
      <name val="Arial"/>
      <family val="2"/>
    </font>
    <font>
      <sz val="8"/>
      <color indexed="81"/>
      <name val="Tahoma"/>
      <family val="2"/>
    </font>
    <font>
      <u/>
      <sz val="8"/>
      <color indexed="81"/>
      <name val="Tahoma"/>
      <family val="2"/>
    </font>
    <font>
      <sz val="10"/>
      <color indexed="81"/>
      <name val="Tahoma"/>
      <family val="2"/>
    </font>
    <font>
      <sz val="12"/>
      <color indexed="81"/>
      <name val="Tahoma"/>
      <family val="2"/>
    </font>
    <font>
      <b/>
      <sz val="8"/>
      <color indexed="81"/>
      <name val="Tahoma"/>
      <family val="2"/>
    </font>
    <font>
      <u/>
      <sz val="10"/>
      <color indexed="81"/>
      <name val="Tahoma"/>
      <family val="2"/>
    </font>
    <font>
      <u/>
      <sz val="11"/>
      <color theme="10"/>
      <name val="Calibri"/>
      <family val="2"/>
      <scheme val="minor"/>
    </font>
    <font>
      <sz val="24"/>
      <name val="Times New Roman"/>
      <family val="1"/>
    </font>
    <font>
      <b/>
      <i/>
      <u/>
      <sz val="14"/>
      <color rgb="FF0000FF"/>
      <name val="Arial"/>
      <family val="2"/>
    </font>
    <font>
      <sz val="12"/>
      <name val="Times New Roman"/>
      <family val="1"/>
    </font>
    <font>
      <b/>
      <sz val="12"/>
      <name val="Times New Roman"/>
      <family val="1"/>
    </font>
    <font>
      <u/>
      <sz val="14"/>
      <color indexed="12"/>
      <name val="Arial"/>
      <family val="2"/>
    </font>
    <font>
      <b/>
      <sz val="11"/>
      <name val="Times New Roman"/>
      <family val="1"/>
    </font>
    <font>
      <b/>
      <sz val="11"/>
      <name val="Arial"/>
      <family val="2"/>
    </font>
    <font>
      <i/>
      <sz val="8"/>
      <name val="Times New Roman"/>
      <family val="1"/>
    </font>
    <font>
      <i/>
      <sz val="9"/>
      <name val="Times New Roman"/>
      <family val="1"/>
    </font>
    <font>
      <b/>
      <i/>
      <sz val="10"/>
      <name val="Arial"/>
      <family val="2"/>
    </font>
    <font>
      <b/>
      <u/>
      <sz val="10"/>
      <name val="Times New Roman"/>
      <family val="1"/>
    </font>
    <font>
      <b/>
      <sz val="16"/>
      <color indexed="18"/>
      <name val="Times New Roman"/>
      <family val="1"/>
    </font>
    <font>
      <u/>
      <sz val="10"/>
      <name val="Times New Roman"/>
      <family val="1"/>
    </font>
    <font>
      <i/>
      <sz val="10"/>
      <name val="Times New Roman"/>
      <family val="1"/>
    </font>
    <font>
      <sz val="10"/>
      <color indexed="43"/>
      <name val="Times New Roman"/>
      <family val="1"/>
    </font>
    <font>
      <b/>
      <i/>
      <sz val="10"/>
      <name val="Times New Roman"/>
      <family val="1"/>
    </font>
    <font>
      <b/>
      <u/>
      <sz val="8"/>
      <color indexed="81"/>
      <name val="Tahoma"/>
      <family val="2"/>
    </font>
    <font>
      <b/>
      <sz val="12"/>
      <color indexed="81"/>
      <name val="Tahoma"/>
      <family val="2"/>
    </font>
    <font>
      <b/>
      <u/>
      <sz val="12"/>
      <color indexed="81"/>
      <name val="Tahoma"/>
      <family val="2"/>
    </font>
    <font>
      <b/>
      <sz val="9"/>
      <color indexed="81"/>
      <name val="Tahoma"/>
      <family val="2"/>
    </font>
    <font>
      <sz val="9"/>
      <color indexed="81"/>
      <name val="Tahoma"/>
      <family val="2"/>
    </font>
  </fonts>
  <fills count="25">
    <fill>
      <patternFill patternType="none"/>
    </fill>
    <fill>
      <patternFill patternType="gray125"/>
    </fill>
    <fill>
      <patternFill patternType="solid">
        <fgColor indexed="52"/>
        <bgColor indexed="64"/>
      </patternFill>
    </fill>
    <fill>
      <patternFill patternType="solid">
        <fgColor indexed="10"/>
        <bgColor indexed="64"/>
      </patternFill>
    </fill>
    <fill>
      <patternFill patternType="solid">
        <fgColor indexed="55"/>
        <bgColor indexed="64"/>
      </patternFill>
    </fill>
    <fill>
      <patternFill patternType="solid">
        <fgColor indexed="51"/>
        <bgColor indexed="64"/>
      </patternFill>
    </fill>
    <fill>
      <patternFill patternType="solid">
        <fgColor rgb="FFFFFF00"/>
        <bgColor indexed="64"/>
      </patternFill>
    </fill>
    <fill>
      <patternFill patternType="solid">
        <fgColor indexed="42"/>
        <bgColor indexed="64"/>
      </patternFill>
    </fill>
    <fill>
      <patternFill patternType="solid">
        <fgColor indexed="50"/>
        <bgColor indexed="64"/>
      </patternFill>
    </fill>
    <fill>
      <patternFill patternType="solid">
        <fgColor indexed="59"/>
        <bgColor indexed="64"/>
      </patternFill>
    </fill>
    <fill>
      <patternFill patternType="solid">
        <fgColor indexed="19"/>
        <bgColor indexed="64"/>
      </patternFill>
    </fill>
    <fill>
      <patternFill patternType="solid">
        <fgColor indexed="43"/>
        <bgColor indexed="64"/>
      </patternFill>
    </fill>
    <fill>
      <patternFill patternType="solid">
        <fgColor indexed="13"/>
        <bgColor indexed="64"/>
      </patternFill>
    </fill>
    <fill>
      <patternFill patternType="solid">
        <fgColor indexed="47"/>
        <bgColor indexed="64"/>
      </patternFill>
    </fill>
    <fill>
      <patternFill patternType="solid">
        <fgColor rgb="FFBDFFC5"/>
        <bgColor indexed="64"/>
      </patternFill>
    </fill>
    <fill>
      <patternFill patternType="lightGray">
        <bgColor indexed="43"/>
      </patternFill>
    </fill>
    <fill>
      <patternFill patternType="lightGray">
        <bgColor indexed="13"/>
      </patternFill>
    </fill>
    <fill>
      <patternFill patternType="solid">
        <fgColor indexed="22"/>
        <bgColor indexed="64"/>
      </patternFill>
    </fill>
    <fill>
      <patternFill patternType="solid">
        <fgColor theme="9" tint="0.39997558519241921"/>
        <bgColor indexed="64"/>
      </patternFill>
    </fill>
    <fill>
      <patternFill patternType="solid">
        <fgColor rgb="FFFFFF99"/>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rgb="FF90F488"/>
        <bgColor indexed="64"/>
      </patternFill>
    </fill>
    <fill>
      <patternFill patternType="solid">
        <fgColor indexed="11"/>
        <bgColor indexed="64"/>
      </patternFill>
    </fill>
    <fill>
      <patternFill patternType="mediumGray">
        <bgColor indexed="47"/>
      </patternFill>
    </fill>
  </fills>
  <borders count="124">
    <border>
      <left/>
      <right/>
      <top/>
      <bottom/>
      <diagonal/>
    </border>
    <border>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17"/>
      </left>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12"/>
      </left>
      <right style="medium">
        <color indexed="64"/>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12"/>
      </right>
      <top style="medium">
        <color indexed="64"/>
      </top>
      <bottom style="medium">
        <color indexed="64"/>
      </bottom>
      <diagonal/>
    </border>
    <border>
      <left style="medium">
        <color indexed="12"/>
      </left>
      <right style="medium">
        <color indexed="12"/>
      </right>
      <top style="medium">
        <color indexed="64"/>
      </top>
      <bottom style="medium">
        <color indexed="64"/>
      </bottom>
      <diagonal/>
    </border>
    <border>
      <left style="medium">
        <color indexed="12"/>
      </left>
      <right style="medium">
        <color indexed="64"/>
      </right>
      <top style="medium">
        <color indexed="64"/>
      </top>
      <bottom style="thin">
        <color indexed="64"/>
      </bottom>
      <diagonal/>
    </border>
    <border>
      <left style="medium">
        <color indexed="64"/>
      </left>
      <right style="medium">
        <color indexed="12"/>
      </right>
      <top style="medium">
        <color indexed="64"/>
      </top>
      <bottom style="thin">
        <color indexed="64"/>
      </bottom>
      <diagonal/>
    </border>
    <border>
      <left/>
      <right style="medium">
        <color indexed="12"/>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12"/>
      </left>
      <right style="medium">
        <color indexed="12"/>
      </right>
      <top style="medium">
        <color indexed="64"/>
      </top>
      <bottom style="thin">
        <color indexed="64"/>
      </bottom>
      <diagonal/>
    </border>
    <border>
      <left style="thin">
        <color indexed="64"/>
      </left>
      <right style="thin">
        <color indexed="64"/>
      </right>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thin">
        <color indexed="64"/>
      </top>
      <bottom style="thin">
        <color indexed="64"/>
      </bottom>
      <diagonal/>
    </border>
    <border>
      <left style="medium">
        <color indexed="12"/>
      </left>
      <right style="medium">
        <color indexed="12"/>
      </right>
      <top style="thin">
        <color indexed="64"/>
      </top>
      <bottom style="thin">
        <color indexed="64"/>
      </bottom>
      <diagonal/>
    </border>
    <border>
      <left style="medium">
        <color indexed="12"/>
      </left>
      <right style="medium">
        <color indexed="64"/>
      </right>
      <top style="thin">
        <color indexed="64"/>
      </top>
      <bottom style="thin">
        <color indexed="64"/>
      </bottom>
      <diagonal/>
    </border>
    <border>
      <left style="medium">
        <color indexed="64"/>
      </left>
      <right style="medium">
        <color indexed="12"/>
      </right>
      <top style="thin">
        <color indexed="64"/>
      </top>
      <bottom style="thin">
        <color indexed="64"/>
      </bottom>
      <diagonal/>
    </border>
    <border>
      <left/>
      <right style="medium">
        <color indexed="12"/>
      </right>
      <top style="thin">
        <color indexed="64"/>
      </top>
      <bottom style="thin">
        <color indexed="64"/>
      </bottom>
      <diagonal/>
    </border>
    <border>
      <left/>
      <right style="medium">
        <color indexed="64"/>
      </right>
      <top style="thin">
        <color indexed="64"/>
      </top>
      <bottom style="thin">
        <color indexed="64"/>
      </bottom>
      <diagonal/>
    </border>
    <border>
      <left/>
      <right style="medium">
        <color indexed="64"/>
      </right>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medium">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diagonal/>
    </border>
    <border>
      <left style="medium">
        <color indexed="64"/>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style="thin">
        <color indexed="64"/>
      </left>
      <right style="medium">
        <color indexed="17"/>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12"/>
      </left>
      <right style="medium">
        <color indexed="12"/>
      </right>
      <top style="thin">
        <color indexed="64"/>
      </top>
      <bottom style="medium">
        <color indexed="64"/>
      </bottom>
      <diagonal/>
    </border>
    <border>
      <left style="medium">
        <color indexed="12"/>
      </left>
      <right style="medium">
        <color indexed="64"/>
      </right>
      <top style="thin">
        <color indexed="64"/>
      </top>
      <bottom style="medium">
        <color indexed="64"/>
      </bottom>
      <diagonal/>
    </border>
    <border>
      <left style="medium">
        <color indexed="64"/>
      </left>
      <right style="medium">
        <color indexed="12"/>
      </right>
      <top style="thin">
        <color indexed="64"/>
      </top>
      <bottom style="medium">
        <color indexed="64"/>
      </bottom>
      <diagonal/>
    </border>
    <border>
      <left/>
      <right style="medium">
        <color indexed="12"/>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17"/>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17"/>
      </right>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17"/>
      </right>
      <top style="thin">
        <color indexed="64"/>
      </top>
      <bottom style="medium">
        <color indexed="64"/>
      </bottom>
      <diagonal/>
    </border>
    <border>
      <left style="thick">
        <color rgb="FFFF0000"/>
      </left>
      <right/>
      <top style="medium">
        <color indexed="64"/>
      </top>
      <bottom style="medium">
        <color indexed="64"/>
      </bottom>
      <diagonal/>
    </border>
    <border>
      <left style="thick">
        <color rgb="FFFF0000"/>
      </left>
      <right style="thin">
        <color indexed="64"/>
      </right>
      <top/>
      <bottom style="thin">
        <color indexed="64"/>
      </bottom>
      <diagonal/>
    </border>
    <border>
      <left style="thick">
        <color rgb="FFFF0000"/>
      </left>
      <right/>
      <top/>
      <bottom/>
      <diagonal/>
    </border>
    <border>
      <left style="thick">
        <color rgb="FFFF0000"/>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style="double">
        <color indexed="10"/>
      </right>
      <top style="medium">
        <color indexed="64"/>
      </top>
      <bottom/>
      <diagonal/>
    </border>
    <border>
      <left style="double">
        <color indexed="10"/>
      </left>
      <right/>
      <top style="medium">
        <color indexed="64"/>
      </top>
      <bottom/>
      <diagonal/>
    </border>
    <border>
      <left/>
      <right style="double">
        <color indexed="10"/>
      </right>
      <top/>
      <bottom style="medium">
        <color indexed="64"/>
      </bottom>
      <diagonal/>
    </border>
    <border>
      <left style="double">
        <color indexed="10"/>
      </left>
      <right/>
      <top/>
      <bottom style="medium">
        <color indexed="64"/>
      </bottom>
      <diagonal/>
    </border>
    <border>
      <left style="medium">
        <color indexed="64"/>
      </left>
      <right style="thin">
        <color indexed="64"/>
      </right>
      <top/>
      <bottom/>
      <diagonal/>
    </border>
    <border>
      <left style="thin">
        <color indexed="64"/>
      </left>
      <right style="thin">
        <color indexed="64"/>
      </right>
      <top style="medium">
        <color indexed="64"/>
      </top>
      <bottom/>
      <diagonal/>
    </border>
    <border>
      <left style="thin">
        <color indexed="64"/>
      </left>
      <right style="double">
        <color indexed="10"/>
      </right>
      <top style="medium">
        <color indexed="64"/>
      </top>
      <bottom/>
      <diagonal/>
    </border>
    <border>
      <left style="thin">
        <color indexed="64"/>
      </left>
      <right style="thin">
        <color indexed="64"/>
      </right>
      <top/>
      <bottom/>
      <diagonal/>
    </border>
    <border>
      <left style="thin">
        <color indexed="64"/>
      </left>
      <right style="double">
        <color indexed="10"/>
      </right>
      <top/>
      <bottom/>
      <diagonal/>
    </border>
    <border>
      <left style="thin">
        <color indexed="64"/>
      </left>
      <right style="medium">
        <color indexed="64"/>
      </right>
      <top/>
      <bottom/>
      <diagonal/>
    </border>
    <border>
      <left style="medium">
        <color indexed="64"/>
      </left>
      <right style="medium">
        <color indexed="18"/>
      </right>
      <top style="medium">
        <color indexed="18"/>
      </top>
      <bottom/>
      <diagonal/>
    </border>
    <border>
      <left/>
      <right style="thin">
        <color indexed="64"/>
      </right>
      <top style="medium">
        <color indexed="64"/>
      </top>
      <bottom/>
      <diagonal/>
    </border>
    <border>
      <left style="thin">
        <color indexed="64"/>
      </left>
      <right/>
      <top style="medium">
        <color indexed="64"/>
      </top>
      <bottom/>
      <diagonal/>
    </border>
    <border>
      <left style="thin">
        <color indexed="64"/>
      </left>
      <right style="thin">
        <color indexed="64"/>
      </right>
      <top/>
      <bottom style="medium">
        <color indexed="64"/>
      </bottom>
      <diagonal/>
    </border>
    <border>
      <left style="thin">
        <color indexed="64"/>
      </left>
      <right style="double">
        <color indexed="10"/>
      </right>
      <top/>
      <bottom style="medium">
        <color indexed="64"/>
      </bottom>
      <diagonal/>
    </border>
    <border>
      <left style="medium">
        <color indexed="64"/>
      </left>
      <right style="medium">
        <color indexed="18"/>
      </right>
      <top/>
      <bottom style="medium">
        <color indexed="18"/>
      </bottom>
      <diagonal/>
    </border>
    <border>
      <left/>
      <right style="thin">
        <color indexed="64"/>
      </right>
      <top/>
      <bottom/>
      <diagonal/>
    </border>
    <border>
      <left style="thin">
        <color indexed="64"/>
      </left>
      <right/>
      <top/>
      <bottom/>
      <diagonal/>
    </border>
    <border>
      <left style="medium">
        <color indexed="64"/>
      </left>
      <right/>
      <top/>
      <bottom style="thin">
        <color indexed="64"/>
      </bottom>
      <diagonal/>
    </border>
    <border>
      <left/>
      <right style="thin">
        <color indexed="64"/>
      </right>
      <top/>
      <bottom style="thin">
        <color indexed="64"/>
      </bottom>
      <diagonal/>
    </border>
    <border>
      <left style="thin">
        <color indexed="64"/>
      </left>
      <right style="double">
        <color indexed="10"/>
      </right>
      <top/>
      <bottom style="thin">
        <color indexed="64"/>
      </bottom>
      <diagonal/>
    </border>
    <border>
      <left style="double">
        <color indexed="10"/>
      </left>
      <right style="thin">
        <color indexed="64"/>
      </right>
      <top style="thin">
        <color indexed="64"/>
      </top>
      <bottom style="thin">
        <color indexed="64"/>
      </bottom>
      <diagonal/>
    </border>
    <border>
      <left style="medium">
        <color indexed="64"/>
      </left>
      <right style="medium">
        <color indexed="18"/>
      </right>
      <top/>
      <bottom/>
      <diagonal/>
    </border>
    <border>
      <left style="thin">
        <color indexed="64"/>
      </left>
      <right style="double">
        <color indexed="64"/>
      </right>
      <top/>
      <bottom/>
      <diagonal/>
    </border>
    <border>
      <left style="thin">
        <color indexed="64"/>
      </left>
      <right style="thick">
        <color indexed="17"/>
      </right>
      <top/>
      <bottom/>
      <diagonal/>
    </border>
    <border>
      <left style="medium">
        <color indexed="64"/>
      </left>
      <right style="thin">
        <color indexed="64"/>
      </right>
      <top/>
      <bottom style="thick">
        <color indexed="17"/>
      </bottom>
      <diagonal/>
    </border>
    <border>
      <left style="thin">
        <color indexed="64"/>
      </left>
      <right style="thin">
        <color indexed="64"/>
      </right>
      <top/>
      <bottom style="thick">
        <color indexed="17"/>
      </bottom>
      <diagonal/>
    </border>
    <border>
      <left style="thin">
        <color indexed="64"/>
      </left>
      <right style="medium">
        <color indexed="64"/>
      </right>
      <top/>
      <bottom style="thick">
        <color indexed="17"/>
      </bottom>
      <diagonal/>
    </border>
    <border>
      <left style="medium">
        <color indexed="64"/>
      </left>
      <right style="medium">
        <color indexed="64"/>
      </right>
      <top/>
      <bottom style="thick">
        <color indexed="17"/>
      </bottom>
      <diagonal/>
    </border>
    <border>
      <left style="medium">
        <color indexed="64"/>
      </left>
      <right style="thin">
        <color indexed="64"/>
      </right>
      <top style="medium">
        <color indexed="18"/>
      </top>
      <bottom style="medium">
        <color indexed="64"/>
      </bottom>
      <diagonal/>
    </border>
    <border>
      <left style="thin">
        <color indexed="64"/>
      </left>
      <right style="double">
        <color indexed="64"/>
      </right>
      <top/>
      <bottom style="medium">
        <color indexed="64"/>
      </bottom>
      <diagonal/>
    </border>
    <border>
      <left/>
      <right style="medium">
        <color indexed="64"/>
      </right>
      <top/>
      <bottom style="thick">
        <color indexed="17"/>
      </bottom>
      <diagonal/>
    </border>
    <border>
      <left style="thin">
        <color indexed="64"/>
      </left>
      <right style="double">
        <color indexed="64"/>
      </right>
      <top/>
      <bottom style="thin">
        <color indexed="64"/>
      </bottom>
      <diagonal/>
    </border>
    <border>
      <left/>
      <right style="medium">
        <color indexed="64"/>
      </right>
      <top/>
      <bottom style="thin">
        <color indexed="64"/>
      </bottom>
      <diagonal/>
    </border>
    <border>
      <left/>
      <right style="medium">
        <color indexed="64"/>
      </right>
      <top style="thin">
        <color indexed="64"/>
      </top>
      <bottom/>
      <diagonal/>
    </border>
    <border>
      <left/>
      <right style="thin">
        <color indexed="64"/>
      </right>
      <top/>
      <bottom style="medium">
        <color indexed="64"/>
      </bottom>
      <diagonal/>
    </border>
    <border>
      <left style="medium">
        <color indexed="64"/>
      </left>
      <right/>
      <top style="thin">
        <color indexed="64"/>
      </top>
      <bottom/>
      <diagonal/>
    </border>
  </borders>
  <cellStyleXfs count="3">
    <xf numFmtId="0" fontId="0" fillId="0" borderId="0"/>
    <xf numFmtId="0" fontId="1" fillId="0" borderId="0"/>
    <xf numFmtId="0" fontId="24" fillId="0" borderId="0" applyNumberFormat="0" applyFill="0" applyBorder="0" applyAlignment="0" applyProtection="0"/>
  </cellStyleXfs>
  <cellXfs count="654">
    <xf numFmtId="0" fontId="0" fillId="0" borderId="0" xfId="0"/>
    <xf numFmtId="0" fontId="1" fillId="0" borderId="0" xfId="1" applyAlignment="1">
      <alignment vertical="center"/>
    </xf>
    <xf numFmtId="0" fontId="1" fillId="0" borderId="5" xfId="1" applyBorder="1" applyAlignment="1">
      <alignment vertical="center"/>
    </xf>
    <xf numFmtId="0" fontId="5" fillId="4" borderId="6" xfId="1" applyFont="1" applyFill="1" applyBorder="1" applyAlignment="1" applyProtection="1">
      <alignment horizontal="center" vertical="center"/>
      <protection locked="0"/>
    </xf>
    <xf numFmtId="3" fontId="7" fillId="6" borderId="10" xfId="1" applyNumberFormat="1" applyFont="1" applyFill="1" applyBorder="1" applyAlignment="1">
      <alignment horizontal="center" vertical="center"/>
    </xf>
    <xf numFmtId="0" fontId="8" fillId="5" borderId="11" xfId="1" applyFont="1" applyFill="1" applyBorder="1" applyAlignment="1">
      <alignment horizontal="center" vertical="center"/>
    </xf>
    <xf numFmtId="0" fontId="8" fillId="5" borderId="12" xfId="1" applyFont="1" applyFill="1" applyBorder="1" applyAlignment="1">
      <alignment horizontal="center" vertical="center"/>
    </xf>
    <xf numFmtId="0" fontId="8" fillId="5" borderId="13" xfId="1" applyFont="1" applyFill="1" applyBorder="1" applyAlignment="1">
      <alignment horizontal="center" vertical="center"/>
    </xf>
    <xf numFmtId="0" fontId="8" fillId="5" borderId="4" xfId="1" applyFont="1" applyFill="1" applyBorder="1" applyAlignment="1">
      <alignment horizontal="center" vertical="center"/>
    </xf>
    <xf numFmtId="0" fontId="8" fillId="5" borderId="10" xfId="1" applyFont="1" applyFill="1" applyBorder="1" applyAlignment="1">
      <alignment horizontal="center" vertical="center" wrapText="1"/>
    </xf>
    <xf numFmtId="0" fontId="6" fillId="5" borderId="14" xfId="1" applyFont="1" applyFill="1" applyBorder="1" applyAlignment="1">
      <alignment horizontal="center" vertical="center" wrapText="1"/>
    </xf>
    <xf numFmtId="0" fontId="8" fillId="5" borderId="15" xfId="1" applyFont="1" applyFill="1" applyBorder="1" applyAlignment="1">
      <alignment horizontal="center" vertical="center" wrapText="1"/>
    </xf>
    <xf numFmtId="0" fontId="6" fillId="5" borderId="16" xfId="1" applyFont="1" applyFill="1" applyBorder="1" applyAlignment="1">
      <alignment horizontal="center" vertical="center" wrapText="1"/>
    </xf>
    <xf numFmtId="0" fontId="6" fillId="2" borderId="2" xfId="1" applyFont="1" applyFill="1" applyBorder="1" applyAlignment="1">
      <alignment horizontal="right" vertical="center"/>
    </xf>
    <xf numFmtId="0" fontId="8" fillId="2" borderId="3" xfId="1" applyFont="1" applyFill="1" applyBorder="1" applyAlignment="1">
      <alignment horizontal="left" vertical="center"/>
    </xf>
    <xf numFmtId="0" fontId="8" fillId="2" borderId="4" xfId="1" applyFont="1" applyFill="1" applyBorder="1" applyAlignment="1">
      <alignment horizontal="right" vertical="center"/>
    </xf>
    <xf numFmtId="0" fontId="8" fillId="2" borderId="21" xfId="1" applyFont="1" applyFill="1" applyBorder="1" applyAlignment="1">
      <alignment horizontal="center" vertical="center"/>
    </xf>
    <xf numFmtId="164" fontId="11" fillId="8" borderId="22" xfId="1" applyNumberFormat="1" applyFont="1" applyFill="1" applyBorder="1" applyAlignment="1">
      <alignment horizontal="center" vertical="center"/>
    </xf>
    <xf numFmtId="164" fontId="11" fillId="9" borderId="23" xfId="1" applyNumberFormat="1" applyFont="1" applyFill="1" applyBorder="1" applyAlignment="1">
      <alignment horizontal="center" vertical="center"/>
    </xf>
    <xf numFmtId="164" fontId="11" fillId="8" borderId="24" xfId="1" applyNumberFormat="1" applyFont="1" applyFill="1" applyBorder="1" applyAlignment="1">
      <alignment horizontal="center" vertical="center"/>
    </xf>
    <xf numFmtId="164" fontId="11" fillId="9" borderId="25" xfId="1" applyNumberFormat="1" applyFont="1" applyFill="1" applyBorder="1" applyAlignment="1">
      <alignment horizontal="center" vertical="center"/>
    </xf>
    <xf numFmtId="164" fontId="12" fillId="8" borderId="26" xfId="1" applyNumberFormat="1" applyFont="1" applyFill="1" applyBorder="1" applyAlignment="1">
      <alignment horizontal="center" vertical="center"/>
    </xf>
    <xf numFmtId="0" fontId="6" fillId="2" borderId="36" xfId="1" applyFont="1" applyFill="1" applyBorder="1" applyAlignment="1">
      <alignment horizontal="center" vertical="center"/>
    </xf>
    <xf numFmtId="0" fontId="6" fillId="2" borderId="36" xfId="1" applyFont="1" applyFill="1" applyBorder="1" applyAlignment="1">
      <alignment horizontal="right" vertical="center"/>
    </xf>
    <xf numFmtId="164" fontId="13" fillId="8" borderId="30" xfId="1" applyNumberFormat="1" applyFont="1" applyFill="1" applyBorder="1" applyAlignment="1">
      <alignment horizontal="center" vertical="center"/>
    </xf>
    <xf numFmtId="164" fontId="11" fillId="8" borderId="37" xfId="1" applyNumberFormat="1" applyFont="1" applyFill="1" applyBorder="1" applyAlignment="1">
      <alignment horizontal="center" vertical="center"/>
    </xf>
    <xf numFmtId="164" fontId="13" fillId="8" borderId="38" xfId="1" applyNumberFormat="1" applyFont="1" applyFill="1" applyBorder="1" applyAlignment="1">
      <alignment horizontal="center" vertical="center"/>
    </xf>
    <xf numFmtId="0" fontId="1" fillId="0" borderId="27" xfId="1" applyBorder="1" applyAlignment="1">
      <alignment horizontal="center" vertical="top" wrapText="1"/>
    </xf>
    <xf numFmtId="0" fontId="6" fillId="2" borderId="44" xfId="1" applyFont="1" applyFill="1" applyBorder="1" applyAlignment="1">
      <alignment horizontal="center" vertical="center"/>
    </xf>
    <xf numFmtId="164" fontId="11" fillId="8" borderId="45" xfId="1" applyNumberFormat="1" applyFont="1" applyFill="1" applyBorder="1" applyAlignment="1">
      <alignment horizontal="center" vertical="center"/>
    </xf>
    <xf numFmtId="164" fontId="11" fillId="9" borderId="46" xfId="1" applyNumberFormat="1" applyFont="1" applyFill="1" applyBorder="1" applyAlignment="1">
      <alignment horizontal="center" vertical="center"/>
    </xf>
    <xf numFmtId="164" fontId="11" fillId="8" borderId="47" xfId="1" applyNumberFormat="1" applyFont="1" applyFill="1" applyBorder="1" applyAlignment="1">
      <alignment horizontal="center" vertical="center"/>
    </xf>
    <xf numFmtId="164" fontId="11" fillId="9" borderId="48" xfId="1" applyNumberFormat="1" applyFont="1" applyFill="1" applyBorder="1" applyAlignment="1">
      <alignment horizontal="center" vertical="center"/>
    </xf>
    <xf numFmtId="164" fontId="12" fillId="8" borderId="49" xfId="1" applyNumberFormat="1" applyFont="1" applyFill="1" applyBorder="1" applyAlignment="1">
      <alignment horizontal="center" vertical="center"/>
    </xf>
    <xf numFmtId="0" fontId="1" fillId="11" borderId="56" xfId="1" applyFill="1" applyBorder="1" applyAlignment="1">
      <alignment horizontal="center" vertical="center"/>
    </xf>
    <xf numFmtId="0" fontId="1" fillId="12" borderId="56" xfId="1" applyFill="1" applyBorder="1" applyAlignment="1">
      <alignment horizontal="center" vertical="center"/>
    </xf>
    <xf numFmtId="0" fontId="1" fillId="12" borderId="54" xfId="1" applyFill="1" applyBorder="1" applyAlignment="1">
      <alignment horizontal="center" vertical="center"/>
    </xf>
    <xf numFmtId="0" fontId="1" fillId="0" borderId="31" xfId="1" applyBorder="1" applyAlignment="1">
      <alignment horizontal="center" vertical="top" wrapText="1"/>
    </xf>
    <xf numFmtId="166" fontId="6" fillId="13" borderId="63" xfId="1" applyNumberFormat="1" applyFont="1" applyFill="1" applyBorder="1" applyAlignment="1">
      <alignment vertical="center" wrapText="1"/>
    </xf>
    <xf numFmtId="166" fontId="14" fillId="12" borderId="64" xfId="1" applyNumberFormat="1" applyFont="1" applyFill="1" applyBorder="1" applyAlignment="1">
      <alignment horizontal="center" vertical="center" wrapText="1"/>
    </xf>
    <xf numFmtId="9" fontId="14" fillId="14" borderId="65" xfId="1" applyNumberFormat="1" applyFont="1" applyFill="1" applyBorder="1" applyAlignment="1" applyProtection="1">
      <alignment horizontal="left" vertical="center"/>
      <protection locked="0"/>
    </xf>
    <xf numFmtId="0" fontId="1" fillId="11" borderId="38" xfId="1" applyFill="1" applyBorder="1" applyAlignment="1">
      <alignment horizontal="center" vertical="center"/>
    </xf>
    <xf numFmtId="0" fontId="1" fillId="12" borderId="38" xfId="1" applyFill="1" applyBorder="1" applyAlignment="1">
      <alignment horizontal="center" vertical="center"/>
    </xf>
    <xf numFmtId="0" fontId="1" fillId="12" borderId="65" xfId="1" applyFill="1" applyBorder="1" applyAlignment="1">
      <alignment horizontal="center" vertical="center"/>
    </xf>
    <xf numFmtId="0" fontId="8" fillId="12" borderId="10" xfId="1" applyFont="1" applyFill="1" applyBorder="1" applyAlignment="1">
      <alignment shrinkToFit="1"/>
    </xf>
    <xf numFmtId="170" fontId="1" fillId="12" borderId="4" xfId="1" applyNumberFormat="1" applyFill="1" applyBorder="1" applyAlignment="1">
      <alignment horizontal="center" shrinkToFit="1"/>
    </xf>
    <xf numFmtId="171" fontId="1" fillId="12" borderId="12" xfId="1" applyNumberFormat="1" applyFill="1" applyBorder="1" applyAlignment="1">
      <alignment horizontal="center" shrinkToFit="1"/>
    </xf>
    <xf numFmtId="9" fontId="1" fillId="12" borderId="13" xfId="1" applyNumberFormat="1" applyFill="1" applyBorder="1" applyAlignment="1">
      <alignment horizontal="center" shrinkToFit="1"/>
    </xf>
    <xf numFmtId="1" fontId="1" fillId="12" borderId="11" xfId="1" applyNumberFormat="1" applyFill="1" applyBorder="1" applyAlignment="1">
      <alignment horizontal="center" shrinkToFit="1"/>
    </xf>
    <xf numFmtId="1" fontId="1" fillId="12" borderId="12" xfId="1" applyNumberFormat="1" applyFill="1" applyBorder="1" applyAlignment="1">
      <alignment horizontal="center" shrinkToFit="1"/>
    </xf>
    <xf numFmtId="164" fontId="1" fillId="12" borderId="12" xfId="1" quotePrefix="1" applyNumberFormat="1" applyFill="1" applyBorder="1" applyAlignment="1">
      <alignment horizontal="center" shrinkToFit="1"/>
    </xf>
    <xf numFmtId="3" fontId="1" fillId="12" borderId="55" xfId="1" quotePrefix="1" applyNumberFormat="1" applyFill="1" applyBorder="1" applyAlignment="1">
      <alignment horizontal="center" shrinkToFit="1"/>
    </xf>
    <xf numFmtId="164" fontId="1" fillId="12" borderId="11" xfId="1" applyNumberFormat="1" applyFill="1" applyBorder="1" applyAlignment="1">
      <alignment horizontal="center" shrinkToFit="1"/>
    </xf>
    <xf numFmtId="164" fontId="1" fillId="12" borderId="12" xfId="1" applyNumberFormat="1" applyFill="1" applyBorder="1" applyAlignment="1">
      <alignment horizontal="center" shrinkToFit="1"/>
    </xf>
    <xf numFmtId="164" fontId="1" fillId="10" borderId="55" xfId="1" applyNumberFormat="1" applyFill="1" applyBorder="1" applyAlignment="1">
      <alignment horizontal="center" shrinkToFit="1"/>
    </xf>
    <xf numFmtId="3" fontId="1" fillId="12" borderId="11" xfId="1" quotePrefix="1" applyNumberFormat="1" applyFill="1" applyBorder="1" applyAlignment="1">
      <alignment horizontal="center" shrinkToFit="1"/>
    </xf>
    <xf numFmtId="166" fontId="6" fillId="13" borderId="34" xfId="1" applyNumberFormat="1" applyFont="1" applyFill="1" applyBorder="1" applyAlignment="1">
      <alignment vertical="center" wrapText="1"/>
    </xf>
    <xf numFmtId="0" fontId="6" fillId="2" borderId="68" xfId="1" applyFont="1" applyFill="1" applyBorder="1" applyAlignment="1">
      <alignment horizontal="center" vertical="center"/>
    </xf>
    <xf numFmtId="0" fontId="6" fillId="2" borderId="68" xfId="1" applyFont="1" applyFill="1" applyBorder="1" applyAlignment="1">
      <alignment horizontal="right" vertical="center"/>
    </xf>
    <xf numFmtId="164" fontId="11" fillId="8" borderId="69" xfId="1" applyNumberFormat="1" applyFont="1" applyFill="1" applyBorder="1" applyAlignment="1">
      <alignment horizontal="center" vertical="center"/>
    </xf>
    <xf numFmtId="164" fontId="11" fillId="9" borderId="70" xfId="1" applyNumberFormat="1" applyFont="1" applyFill="1" applyBorder="1" applyAlignment="1">
      <alignment horizontal="center" vertical="center"/>
    </xf>
    <xf numFmtId="164" fontId="11" fillId="8" borderId="71" xfId="1" applyNumberFormat="1" applyFont="1" applyFill="1" applyBorder="1" applyAlignment="1">
      <alignment horizontal="center" vertical="center"/>
    </xf>
    <xf numFmtId="164" fontId="11" fillId="9" borderId="72" xfId="1" applyNumberFormat="1" applyFont="1" applyFill="1" applyBorder="1" applyAlignment="1">
      <alignment horizontal="center" vertical="center"/>
    </xf>
    <xf numFmtId="164" fontId="12" fillId="8" borderId="60" xfId="1" applyNumberFormat="1" applyFont="1" applyFill="1" applyBorder="1" applyAlignment="1">
      <alignment horizontal="center" vertical="center"/>
    </xf>
    <xf numFmtId="164" fontId="15" fillId="9" borderId="10" xfId="1" applyNumberFormat="1" applyFont="1" applyFill="1" applyBorder="1" applyAlignment="1">
      <alignment horizontal="center" vertical="center" readingOrder="1"/>
    </xf>
    <xf numFmtId="10" fontId="1" fillId="0" borderId="0" xfId="1" applyNumberFormat="1" applyAlignment="1">
      <alignment vertical="center"/>
    </xf>
    <xf numFmtId="166" fontId="1" fillId="0" borderId="0" xfId="1" applyNumberFormat="1" applyAlignment="1">
      <alignment vertical="center"/>
    </xf>
    <xf numFmtId="0" fontId="1" fillId="15" borderId="38" xfId="1" applyFill="1" applyBorder="1" applyAlignment="1">
      <alignment horizontal="center" vertical="center"/>
    </xf>
    <xf numFmtId="0" fontId="1" fillId="16" borderId="65" xfId="1" applyFill="1" applyBorder="1" applyAlignment="1">
      <alignment horizontal="center" vertical="center"/>
    </xf>
    <xf numFmtId="0" fontId="14" fillId="0" borderId="0" xfId="1" applyFont="1"/>
    <xf numFmtId="0" fontId="27" fillId="0" borderId="0" xfId="1" applyFont="1"/>
    <xf numFmtId="0" fontId="29" fillId="0" borderId="0" xfId="2" applyFont="1" applyAlignment="1" applyProtection="1"/>
    <xf numFmtId="0" fontId="14" fillId="20" borderId="63" xfId="1" applyFont="1" applyFill="1" applyBorder="1" applyAlignment="1">
      <alignment horizontal="center"/>
    </xf>
    <xf numFmtId="0" fontId="14" fillId="21" borderId="67" xfId="1" applyFont="1" applyFill="1" applyBorder="1" applyAlignment="1">
      <alignment horizontal="center"/>
    </xf>
    <xf numFmtId="0" fontId="14" fillId="21" borderId="65" xfId="1" applyFont="1" applyFill="1" applyBorder="1" applyAlignment="1">
      <alignment horizontal="center"/>
    </xf>
    <xf numFmtId="0" fontId="14" fillId="20" borderId="82" xfId="1" applyFont="1" applyFill="1" applyBorder="1" applyAlignment="1">
      <alignment horizontal="center"/>
    </xf>
    <xf numFmtId="0" fontId="14" fillId="6" borderId="10" xfId="1" applyFont="1" applyFill="1" applyBorder="1"/>
    <xf numFmtId="0" fontId="14" fillId="6" borderId="2" xfId="1" applyFont="1" applyFill="1" applyBorder="1"/>
    <xf numFmtId="0" fontId="14" fillId="0" borderId="83" xfId="1" applyFont="1" applyBorder="1"/>
    <xf numFmtId="3" fontId="6" fillId="6" borderId="10" xfId="1" applyNumberFormat="1" applyFont="1" applyFill="1" applyBorder="1"/>
    <xf numFmtId="3" fontId="6" fillId="18" borderId="10" xfId="1" applyNumberFormat="1" applyFont="1" applyFill="1" applyBorder="1"/>
    <xf numFmtId="0" fontId="14" fillId="6" borderId="84" xfId="1" applyFont="1" applyFill="1" applyBorder="1"/>
    <xf numFmtId="0" fontId="14" fillId="0" borderId="50" xfId="1" applyFont="1" applyBorder="1"/>
    <xf numFmtId="0" fontId="14" fillId="0" borderId="0" xfId="1" applyFont="1"/>
    <xf numFmtId="0" fontId="1" fillId="0" borderId="0" xfId="1"/>
    <xf numFmtId="0" fontId="8" fillId="2" borderId="2" xfId="1" applyFont="1" applyFill="1" applyBorder="1" applyAlignment="1">
      <alignment horizontal="center" vertical="center"/>
    </xf>
    <xf numFmtId="0" fontId="8" fillId="2" borderId="3" xfId="1" applyFont="1" applyFill="1" applyBorder="1" applyAlignment="1">
      <alignment horizontal="center" vertical="center"/>
    </xf>
    <xf numFmtId="0" fontId="1" fillId="0" borderId="0" xfId="1"/>
    <xf numFmtId="2" fontId="14" fillId="0" borderId="0" xfId="1" applyNumberFormat="1" applyFont="1"/>
    <xf numFmtId="0" fontId="14" fillId="0" borderId="0" xfId="1" applyFont="1" applyAlignment="1">
      <alignment horizontal="right"/>
    </xf>
    <xf numFmtId="1" fontId="14" fillId="0" borderId="0" xfId="1" applyNumberFormat="1" applyFont="1" applyAlignment="1">
      <alignment horizontal="right"/>
    </xf>
    <xf numFmtId="0" fontId="14" fillId="0" borderId="0" xfId="1" applyFont="1" applyProtection="1">
      <protection locked="0"/>
    </xf>
    <xf numFmtId="0" fontId="14" fillId="0" borderId="0" xfId="1" applyFont="1" applyAlignment="1">
      <alignment horizontal="left"/>
    </xf>
    <xf numFmtId="0" fontId="1" fillId="0" borderId="0" xfId="1" applyAlignment="1">
      <alignment horizontal="centerContinuous"/>
    </xf>
    <xf numFmtId="0" fontId="14" fillId="0" borderId="0" xfId="1" applyFont="1" applyAlignment="1">
      <alignment horizontal="centerContinuous"/>
    </xf>
    <xf numFmtId="173" fontId="14" fillId="0" borderId="0" xfId="1" applyNumberFormat="1" applyFont="1"/>
    <xf numFmtId="0" fontId="32" fillId="2" borderId="6" xfId="1" applyFont="1" applyFill="1" applyBorder="1" applyAlignment="1">
      <alignment horizontal="center" vertical="center"/>
    </xf>
    <xf numFmtId="0" fontId="2" fillId="2" borderId="8" xfId="1" applyFont="1" applyFill="1" applyBorder="1" applyAlignment="1">
      <alignment horizontal="center" vertical="center"/>
    </xf>
    <xf numFmtId="0" fontId="33" fillId="2" borderId="7" xfId="1" applyFont="1" applyFill="1" applyBorder="1" applyAlignment="1">
      <alignment horizontal="right" vertical="center" wrapText="1"/>
    </xf>
    <xf numFmtId="167" fontId="33" fillId="2" borderId="8" xfId="1" applyNumberFormat="1" applyFont="1" applyFill="1" applyBorder="1" applyAlignment="1">
      <alignment horizontal="left" vertical="center" wrapText="1"/>
    </xf>
    <xf numFmtId="0" fontId="1" fillId="0" borderId="0" xfId="1" applyProtection="1">
      <protection locked="0"/>
    </xf>
    <xf numFmtId="0" fontId="14" fillId="5" borderId="85" xfId="1" applyFont="1" applyFill="1" applyBorder="1"/>
    <xf numFmtId="1" fontId="14" fillId="0" borderId="0" xfId="1" applyNumberFormat="1" applyFont="1" applyProtection="1">
      <protection locked="0"/>
    </xf>
    <xf numFmtId="1" fontId="14" fillId="0" borderId="0" xfId="1" applyNumberFormat="1" applyFont="1" applyAlignment="1">
      <alignment wrapText="1"/>
    </xf>
    <xf numFmtId="1" fontId="14" fillId="0" borderId="0" xfId="1" quotePrefix="1" applyNumberFormat="1" applyFont="1"/>
    <xf numFmtId="167" fontId="32" fillId="2" borderId="5" xfId="1" applyNumberFormat="1" applyFont="1" applyFill="1" applyBorder="1" applyAlignment="1">
      <alignment horizontal="center" vertical="center" shrinkToFit="1"/>
    </xf>
    <xf numFmtId="0" fontId="2" fillId="2" borderId="16" xfId="1" applyFont="1" applyFill="1" applyBorder="1" applyAlignment="1">
      <alignment horizontal="center" vertical="center"/>
    </xf>
    <xf numFmtId="0" fontId="33" fillId="2" borderId="1" xfId="1" applyFont="1" applyFill="1" applyBorder="1" applyAlignment="1">
      <alignment horizontal="center" vertical="center" wrapText="1"/>
    </xf>
    <xf numFmtId="0" fontId="33" fillId="2" borderId="16" xfId="1" applyFont="1" applyFill="1" applyBorder="1" applyAlignment="1">
      <alignment horizontal="center" vertical="center" wrapText="1"/>
    </xf>
    <xf numFmtId="0" fontId="1" fillId="5" borderId="86" xfId="1" applyFill="1" applyBorder="1"/>
    <xf numFmtId="1" fontId="14" fillId="0" borderId="0" xfId="1" quotePrefix="1" applyNumberFormat="1" applyFont="1" applyAlignment="1">
      <alignment wrapText="1"/>
    </xf>
    <xf numFmtId="173" fontId="14" fillId="0" borderId="0" xfId="1" applyNumberFormat="1" applyFont="1" applyAlignment="1">
      <alignment horizontal="right"/>
    </xf>
    <xf numFmtId="0" fontId="8" fillId="4" borderId="73" xfId="1" applyFont="1" applyFill="1" applyBorder="1" applyAlignment="1" applyProtection="1">
      <alignment horizontal="center" vertical="center" shrinkToFit="1"/>
      <protection locked="0"/>
    </xf>
    <xf numFmtId="171" fontId="8" fillId="14" borderId="49" xfId="1" applyNumberFormat="1" applyFont="1" applyFill="1" applyBorder="1" applyAlignment="1" applyProtection="1">
      <alignment horizontal="center" vertical="center" shrinkToFit="1"/>
      <protection locked="0"/>
    </xf>
    <xf numFmtId="171" fontId="8" fillId="4" borderId="91" xfId="1" applyNumberFormat="1" applyFont="1" applyFill="1" applyBorder="1" applyAlignment="1" applyProtection="1">
      <alignment horizontal="center" vertical="center"/>
      <protection locked="0"/>
    </xf>
    <xf numFmtId="171" fontId="8" fillId="22" borderId="49" xfId="1" applyNumberFormat="1" applyFont="1" applyFill="1" applyBorder="1" applyAlignment="1" applyProtection="1">
      <alignment horizontal="center" vertical="center" shrinkToFit="1"/>
      <protection locked="0"/>
    </xf>
    <xf numFmtId="0" fontId="1" fillId="0" borderId="5" xfId="1" applyBorder="1"/>
    <xf numFmtId="174" fontId="14" fillId="0" borderId="0" xfId="1" applyNumberFormat="1" applyFont="1" applyProtection="1">
      <protection locked="0"/>
    </xf>
    <xf numFmtId="2" fontId="14" fillId="0" borderId="0" xfId="1" applyNumberFormat="1" applyFont="1" applyProtection="1">
      <protection locked="0"/>
    </xf>
    <xf numFmtId="15" fontId="8" fillId="22" borderId="49" xfId="1" applyNumberFormat="1" applyFont="1" applyFill="1" applyBorder="1" applyAlignment="1" applyProtection="1">
      <alignment horizontal="center" vertical="center" shrinkToFit="1"/>
      <protection locked="0"/>
    </xf>
    <xf numFmtId="0" fontId="6" fillId="2" borderId="10" xfId="1" applyFont="1" applyFill="1" applyBorder="1" applyAlignment="1">
      <alignment horizontal="center"/>
    </xf>
    <xf numFmtId="2" fontId="14" fillId="5" borderId="11" xfId="1" quotePrefix="1" applyNumberFormat="1" applyFont="1" applyFill="1" applyBorder="1" applyAlignment="1">
      <alignment horizontal="right"/>
    </xf>
    <xf numFmtId="1" fontId="14" fillId="9" borderId="55" xfId="1" applyNumberFormat="1" applyFont="1" applyFill="1" applyBorder="1" applyAlignment="1">
      <alignment horizontal="center"/>
    </xf>
    <xf numFmtId="0" fontId="14" fillId="0" borderId="0" xfId="1" applyFont="1" applyAlignment="1">
      <alignment horizontal="center"/>
    </xf>
    <xf numFmtId="1" fontId="6" fillId="23" borderId="10" xfId="1" applyNumberFormat="1" applyFont="1" applyFill="1" applyBorder="1" applyAlignment="1" applyProtection="1">
      <alignment horizontal="center" vertical="top" wrapText="1"/>
      <protection locked="0"/>
    </xf>
    <xf numFmtId="1" fontId="6" fillId="0" borderId="0" xfId="1" applyNumberFormat="1" applyFont="1" applyAlignment="1">
      <alignment horizontal="right"/>
    </xf>
    <xf numFmtId="1" fontId="14" fillId="0" borderId="0" xfId="1" applyNumberFormat="1" applyFont="1" applyAlignment="1">
      <alignment horizontal="center"/>
    </xf>
    <xf numFmtId="0" fontId="1" fillId="5" borderId="2" xfId="1" applyFill="1" applyBorder="1"/>
    <xf numFmtId="0" fontId="1" fillId="5" borderId="3" xfId="1" applyFill="1" applyBorder="1"/>
    <xf numFmtId="0" fontId="8" fillId="5" borderId="3" xfId="1" applyFont="1" applyFill="1" applyBorder="1"/>
    <xf numFmtId="0" fontId="1" fillId="5" borderId="4" xfId="1" applyFill="1" applyBorder="1"/>
    <xf numFmtId="0" fontId="14" fillId="0" borderId="5" xfId="1" applyFont="1" applyBorder="1"/>
    <xf numFmtId="3" fontId="14" fillId="0" borderId="0" xfId="1" applyNumberFormat="1" applyFont="1" applyProtection="1">
      <protection locked="0"/>
    </xf>
    <xf numFmtId="1" fontId="14" fillId="0" borderId="0" xfId="1" applyNumberFormat="1" applyFont="1" applyAlignment="1">
      <alignment horizontal="left"/>
    </xf>
    <xf numFmtId="164" fontId="14" fillId="9" borderId="4" xfId="1" applyNumberFormat="1" applyFont="1" applyFill="1" applyBorder="1" applyAlignment="1">
      <alignment horizontal="center" vertical="center"/>
    </xf>
    <xf numFmtId="2" fontId="14" fillId="0" borderId="0" xfId="1" applyNumberFormat="1" applyFont="1" applyAlignment="1">
      <alignment horizontal="center"/>
    </xf>
    <xf numFmtId="164" fontId="14" fillId="0" borderId="29" xfId="1" applyNumberFormat="1" applyFont="1" applyBorder="1" applyProtection="1">
      <protection locked="0"/>
    </xf>
    <xf numFmtId="165" fontId="14" fillId="0" borderId="0" xfId="1" applyNumberFormat="1" applyFont="1" applyAlignment="1">
      <alignment horizontal="right"/>
    </xf>
    <xf numFmtId="2" fontId="14" fillId="0" borderId="0" xfId="1" applyNumberFormat="1" applyFont="1" applyAlignment="1">
      <alignment horizontal="right"/>
    </xf>
    <xf numFmtId="0" fontId="6" fillId="5" borderId="105" xfId="1" applyFont="1" applyFill="1" applyBorder="1" applyAlignment="1">
      <alignment horizontal="center"/>
    </xf>
    <xf numFmtId="165" fontId="14" fillId="4" borderId="106" xfId="1" applyNumberFormat="1" applyFont="1" applyFill="1" applyBorder="1" applyAlignment="1" applyProtection="1">
      <alignment horizontal="center" vertical="top" wrapText="1"/>
      <protection locked="0"/>
    </xf>
    <xf numFmtId="1" fontId="14" fillId="4" borderId="38" xfId="1" applyNumberFormat="1" applyFont="1" applyFill="1" applyBorder="1" applyAlignment="1" applyProtection="1">
      <alignment horizontal="center" vertical="top" wrapText="1"/>
      <protection locked="0"/>
    </xf>
    <xf numFmtId="0" fontId="14" fillId="4" borderId="107" xfId="1" applyFont="1" applyFill="1" applyBorder="1" applyAlignment="1" applyProtection="1">
      <alignment horizontal="center" vertical="top" wrapText="1"/>
      <protection locked="0"/>
    </xf>
    <xf numFmtId="175" fontId="14" fillId="12" borderId="108" xfId="1" applyNumberFormat="1" applyFont="1" applyFill="1" applyBorder="1" applyAlignment="1">
      <alignment horizontal="center" vertical="top" wrapText="1"/>
    </xf>
    <xf numFmtId="164" fontId="14" fillId="12" borderId="20" xfId="1" applyNumberFormat="1" applyFont="1" applyFill="1" applyBorder="1" applyAlignment="1">
      <alignment horizontal="center" vertical="top" wrapText="1"/>
    </xf>
    <xf numFmtId="164" fontId="14" fillId="0" borderId="103" xfId="1" applyNumberFormat="1" applyFont="1" applyBorder="1" applyProtection="1">
      <protection locked="0"/>
    </xf>
    <xf numFmtId="164" fontId="14" fillId="12" borderId="35" xfId="1" applyNumberFormat="1" applyFont="1" applyFill="1" applyBorder="1" applyAlignment="1">
      <alignment horizontal="center" vertical="top" wrapText="1"/>
    </xf>
    <xf numFmtId="9" fontId="6" fillId="17" borderId="103" xfId="1" applyNumberFormat="1" applyFont="1" applyFill="1" applyBorder="1" applyAlignment="1" applyProtection="1">
      <alignment horizontal="center" vertical="center" wrapText="1"/>
      <protection locked="0"/>
    </xf>
    <xf numFmtId="9" fontId="6" fillId="17" borderId="94" xfId="1" applyNumberFormat="1" applyFont="1" applyFill="1" applyBorder="1" applyAlignment="1" applyProtection="1">
      <alignment horizontal="center" vertical="center" wrapText="1"/>
      <protection locked="0"/>
    </xf>
    <xf numFmtId="9" fontId="6" fillId="17" borderId="111" xfId="1" applyNumberFormat="1" applyFont="1" applyFill="1" applyBorder="1" applyAlignment="1" applyProtection="1">
      <alignment horizontal="center" vertical="center" wrapText="1"/>
      <protection locked="0"/>
    </xf>
    <xf numFmtId="9" fontId="14" fillId="9" borderId="112" xfId="1" applyNumberFormat="1" applyFont="1" applyFill="1" applyBorder="1" applyAlignment="1">
      <alignment horizontal="center"/>
    </xf>
    <xf numFmtId="9" fontId="14" fillId="9" borderId="113" xfId="1" applyNumberFormat="1" applyFont="1" applyFill="1" applyBorder="1" applyAlignment="1">
      <alignment horizontal="center"/>
    </xf>
    <xf numFmtId="9" fontId="14" fillId="9" borderId="114" xfId="1" applyNumberFormat="1" applyFont="1" applyFill="1" applyBorder="1" applyAlignment="1">
      <alignment horizontal="center"/>
    </xf>
    <xf numFmtId="1" fontId="14" fillId="0" borderId="0" xfId="1" applyNumberFormat="1" applyFont="1"/>
    <xf numFmtId="0" fontId="6" fillId="5" borderId="116" xfId="1" applyFont="1" applyFill="1" applyBorder="1" applyAlignment="1">
      <alignment horizontal="center" vertical="top" wrapText="1"/>
    </xf>
    <xf numFmtId="3" fontId="14" fillId="9" borderId="13" xfId="1" applyNumberFormat="1" applyFont="1" applyFill="1" applyBorder="1" applyAlignment="1">
      <alignment horizontal="center" vertical="center"/>
    </xf>
    <xf numFmtId="3" fontId="14" fillId="9" borderId="12" xfId="1" applyNumberFormat="1" applyFont="1" applyFill="1" applyBorder="1" applyAlignment="1">
      <alignment horizontal="center" vertical="center"/>
    </xf>
    <xf numFmtId="3" fontId="14" fillId="9" borderId="55" xfId="1" applyNumberFormat="1" applyFont="1" applyFill="1" applyBorder="1" applyAlignment="1">
      <alignment horizontal="center" vertical="center"/>
    </xf>
    <xf numFmtId="1" fontId="1" fillId="9" borderId="58" xfId="1" applyNumberFormat="1" applyFill="1" applyBorder="1" applyAlignment="1">
      <alignment horizontal="center" vertical="center"/>
    </xf>
    <xf numFmtId="1" fontId="1" fillId="9" borderId="100" xfId="1" applyNumberFormat="1" applyFill="1" applyBorder="1" applyAlignment="1">
      <alignment horizontal="center" vertical="center"/>
    </xf>
    <xf numFmtId="1" fontId="1" fillId="9" borderId="59" xfId="1" applyNumberFormat="1" applyFill="1" applyBorder="1" applyAlignment="1">
      <alignment horizontal="center" vertical="center"/>
    </xf>
    <xf numFmtId="1" fontId="8" fillId="9" borderId="118" xfId="1" applyNumberFormat="1" applyFont="1" applyFill="1" applyBorder="1" applyAlignment="1">
      <alignment horizontal="center" vertical="center"/>
    </xf>
    <xf numFmtId="0" fontId="14" fillId="0" borderId="2" xfId="0" applyFont="1" applyBorder="1"/>
    <xf numFmtId="0" fontId="14" fillId="4" borderId="34" xfId="1" applyFont="1" applyFill="1" applyBorder="1" applyAlignment="1" applyProtection="1">
      <alignment horizontal="left"/>
      <protection locked="0"/>
    </xf>
    <xf numFmtId="0" fontId="14" fillId="12" borderId="30" xfId="1" applyFont="1" applyFill="1" applyBorder="1" applyAlignment="1">
      <alignment horizontal="center"/>
    </xf>
    <xf numFmtId="166" fontId="14" fillId="4" borderId="119" xfId="1" applyNumberFormat="1" applyFont="1" applyFill="1" applyBorder="1" applyAlignment="1" applyProtection="1">
      <alignment horizontal="center" vertical="top" wrapText="1"/>
      <protection locked="0"/>
    </xf>
    <xf numFmtId="0" fontId="14" fillId="14" borderId="77" xfId="1" applyFont="1" applyFill="1" applyBorder="1" applyAlignment="1" applyProtection="1">
      <alignment horizontal="center" vertical="top" wrapText="1"/>
      <protection locked="0"/>
    </xf>
    <xf numFmtId="1" fontId="14" fillId="8" borderId="63" xfId="1" applyNumberFormat="1" applyFont="1" applyFill="1" applyBorder="1" applyAlignment="1">
      <alignment horizontal="center" vertical="top" wrapText="1"/>
    </xf>
    <xf numFmtId="1" fontId="14" fillId="8" borderId="38" xfId="1" applyNumberFormat="1" applyFont="1" applyFill="1" applyBorder="1" applyAlignment="1">
      <alignment horizontal="center" vertical="top" wrapText="1"/>
    </xf>
    <xf numFmtId="1" fontId="14" fillId="8" borderId="67" xfId="1" applyNumberFormat="1" applyFont="1" applyFill="1" applyBorder="1" applyAlignment="1">
      <alignment horizontal="center" vertical="top" wrapText="1"/>
    </xf>
    <xf numFmtId="1" fontId="14" fillId="9" borderId="120" xfId="1" applyNumberFormat="1" applyFont="1" applyFill="1" applyBorder="1" applyAlignment="1">
      <alignment horizontal="center" vertical="top" wrapText="1"/>
    </xf>
    <xf numFmtId="0" fontId="14" fillId="17" borderId="36" xfId="1" applyFont="1" applyFill="1" applyBorder="1" applyProtection="1">
      <protection locked="0"/>
    </xf>
    <xf numFmtId="0" fontId="14" fillId="0" borderId="6" xfId="0" applyFont="1" applyBorder="1" applyProtection="1">
      <protection locked="0"/>
    </xf>
    <xf numFmtId="3" fontId="14" fillId="0" borderId="30" xfId="1" applyNumberFormat="1" applyFont="1" applyBorder="1" applyProtection="1">
      <protection locked="0"/>
    </xf>
    <xf numFmtId="1" fontId="14" fillId="8" borderId="34" xfId="1" quotePrefix="1" applyNumberFormat="1" applyFont="1" applyFill="1" applyBorder="1" applyAlignment="1">
      <alignment horizontal="center" vertical="top" wrapText="1"/>
    </xf>
    <xf numFmtId="1" fontId="14" fillId="8" borderId="30" xfId="1" applyNumberFormat="1" applyFont="1" applyFill="1" applyBorder="1" applyAlignment="1">
      <alignment horizontal="center" vertical="top" wrapText="1"/>
    </xf>
    <xf numFmtId="1" fontId="14" fillId="8" borderId="35" xfId="1" applyNumberFormat="1" applyFont="1" applyFill="1" applyBorder="1" applyAlignment="1">
      <alignment horizontal="center" vertical="top" wrapText="1"/>
    </xf>
    <xf numFmtId="0" fontId="14" fillId="17" borderId="44" xfId="1" applyFont="1" applyFill="1" applyBorder="1" applyProtection="1">
      <protection locked="0"/>
    </xf>
    <xf numFmtId="0" fontId="14" fillId="0" borderId="5" xfId="0" applyFont="1" applyBorder="1" applyProtection="1">
      <protection locked="0"/>
    </xf>
    <xf numFmtId="1" fontId="14" fillId="8" borderId="34" xfId="1" applyNumberFormat="1" applyFont="1" applyFill="1" applyBorder="1" applyAlignment="1">
      <alignment horizontal="center" vertical="top" wrapText="1"/>
    </xf>
    <xf numFmtId="0" fontId="14" fillId="0" borderId="5" xfId="1" applyFont="1" applyBorder="1" applyProtection="1">
      <protection locked="0"/>
    </xf>
    <xf numFmtId="1" fontId="14" fillId="0" borderId="5" xfId="1" applyNumberFormat="1" applyFont="1" applyBorder="1"/>
    <xf numFmtId="1" fontId="14" fillId="0" borderId="57" xfId="1" applyNumberFormat="1" applyFont="1" applyBorder="1"/>
    <xf numFmtId="2" fontId="14" fillId="0" borderId="0" xfId="1" quotePrefix="1" applyNumberFormat="1" applyFont="1"/>
    <xf numFmtId="0" fontId="6" fillId="5" borderId="5" xfId="1" applyFont="1" applyFill="1" applyBorder="1" applyAlignment="1">
      <alignment horizontal="center"/>
    </xf>
    <xf numFmtId="164" fontId="14" fillId="12" borderId="61" xfId="1" applyNumberFormat="1" applyFont="1" applyFill="1" applyBorder="1" applyAlignment="1">
      <alignment horizontal="center" vertical="top" wrapText="1"/>
    </xf>
    <xf numFmtId="0" fontId="14" fillId="13" borderId="34" xfId="1" applyFont="1" applyFill="1" applyBorder="1" applyAlignment="1">
      <alignment horizontal="left"/>
    </xf>
    <xf numFmtId="168" fontId="6" fillId="9" borderId="19" xfId="1" applyNumberFormat="1" applyFont="1" applyFill="1" applyBorder="1" applyAlignment="1">
      <alignment horizontal="center" vertical="center"/>
    </xf>
    <xf numFmtId="164" fontId="6" fillId="9" borderId="20" xfId="1" applyNumberFormat="1" applyFont="1" applyFill="1" applyBorder="1" applyAlignment="1">
      <alignment horizontal="center" vertical="center"/>
    </xf>
    <xf numFmtId="0" fontId="14" fillId="0" borderId="0" xfId="1" quotePrefix="1" applyFont="1" applyProtection="1">
      <protection locked="0"/>
    </xf>
    <xf numFmtId="1" fontId="14" fillId="0" borderId="0" xfId="1" applyNumberFormat="1" applyFont="1" applyAlignment="1" applyProtection="1">
      <alignment horizontal="right"/>
      <protection locked="0"/>
    </xf>
    <xf numFmtId="0" fontId="14" fillId="5" borderId="17" xfId="1" applyFont="1" applyFill="1" applyBorder="1"/>
    <xf numFmtId="0" fontId="14" fillId="5" borderId="19" xfId="1" applyFont="1" applyFill="1" applyBorder="1"/>
    <xf numFmtId="0" fontId="14" fillId="5" borderId="34" xfId="1" applyFont="1" applyFill="1" applyBorder="1"/>
    <xf numFmtId="0" fontId="14" fillId="5" borderId="30" xfId="1" applyFont="1" applyFill="1" applyBorder="1"/>
    <xf numFmtId="1" fontId="14" fillId="5" borderId="30" xfId="1" applyNumberFormat="1" applyFont="1" applyFill="1" applyBorder="1"/>
    <xf numFmtId="2" fontId="14" fillId="5" borderId="34" xfId="1" applyNumberFormat="1" applyFont="1" applyFill="1" applyBorder="1"/>
    <xf numFmtId="0" fontId="14" fillId="5" borderId="41" xfId="1" applyFont="1" applyFill="1" applyBorder="1"/>
    <xf numFmtId="0" fontId="14" fillId="5" borderId="42" xfId="1" applyFont="1" applyFill="1" applyBorder="1"/>
    <xf numFmtId="0" fontId="1" fillId="17" borderId="36" xfId="1" applyFill="1" applyBorder="1" applyAlignment="1" applyProtection="1">
      <alignment horizontal="center" vertical="center"/>
      <protection locked="0"/>
    </xf>
    <xf numFmtId="0" fontId="1" fillId="17" borderId="62" xfId="1" applyFill="1" applyBorder="1" applyAlignment="1" applyProtection="1">
      <alignment horizontal="center"/>
      <protection locked="0"/>
    </xf>
    <xf numFmtId="3" fontId="6" fillId="9" borderId="10" xfId="1" applyNumberFormat="1" applyFont="1" applyFill="1" applyBorder="1" applyAlignment="1">
      <alignment horizontal="center" vertical="center"/>
    </xf>
    <xf numFmtId="168" fontId="6" fillId="9" borderId="10" xfId="1" applyNumberFormat="1" applyFont="1" applyFill="1" applyBorder="1" applyAlignment="1">
      <alignment horizontal="center" vertical="center"/>
    </xf>
    <xf numFmtId="0" fontId="38" fillId="0" borderId="0" xfId="1" applyFont="1" applyAlignment="1">
      <alignment horizontal="right"/>
    </xf>
    <xf numFmtId="3" fontId="14" fillId="0" borderId="0" xfId="1" applyNumberFormat="1" applyFont="1"/>
    <xf numFmtId="3" fontId="14" fillId="0" borderId="0" xfId="1" quotePrefix="1" applyNumberFormat="1" applyFont="1"/>
    <xf numFmtId="0" fontId="39" fillId="0" borderId="0" xfId="1" applyFont="1"/>
    <xf numFmtId="0" fontId="14" fillId="0" borderId="0" xfId="1" quotePrefix="1" applyFont="1"/>
    <xf numFmtId="0" fontId="14" fillId="13" borderId="34" xfId="1" applyFont="1" applyFill="1" applyBorder="1" applyAlignment="1" applyProtection="1">
      <alignment horizontal="left"/>
      <protection locked="0"/>
    </xf>
    <xf numFmtId="1" fontId="14" fillId="8" borderId="53" xfId="1" applyNumberFormat="1" applyFont="1" applyFill="1" applyBorder="1" applyAlignment="1">
      <alignment horizontal="center" vertical="top" wrapText="1"/>
    </xf>
    <xf numFmtId="1" fontId="14" fillId="8" borderId="56" xfId="1" applyNumberFormat="1" applyFont="1" applyFill="1" applyBorder="1" applyAlignment="1">
      <alignment horizontal="center" vertical="top" wrapText="1"/>
    </xf>
    <xf numFmtId="1" fontId="14" fillId="8" borderId="61" xfId="1" applyNumberFormat="1" applyFont="1" applyFill="1" applyBorder="1" applyAlignment="1">
      <alignment horizontal="center" vertical="top" wrapText="1"/>
    </xf>
    <xf numFmtId="1" fontId="14" fillId="9" borderId="121" xfId="1" applyNumberFormat="1" applyFont="1" applyFill="1" applyBorder="1" applyAlignment="1">
      <alignment horizontal="center" vertical="top" wrapText="1"/>
    </xf>
    <xf numFmtId="1" fontId="14" fillId="0" borderId="0" xfId="1" quotePrefix="1" applyNumberFormat="1" applyFont="1" applyAlignment="1">
      <alignment horizontal="right"/>
    </xf>
    <xf numFmtId="0" fontId="14" fillId="4" borderId="105" xfId="1" applyFont="1" applyFill="1" applyBorder="1" applyAlignment="1" applyProtection="1">
      <alignment horizontal="left"/>
      <protection locked="0"/>
    </xf>
    <xf numFmtId="0" fontId="1" fillId="4" borderId="64" xfId="1" applyFill="1" applyBorder="1" applyProtection="1">
      <protection locked="0"/>
    </xf>
    <xf numFmtId="0" fontId="1" fillId="4" borderId="106" xfId="1" applyFill="1" applyBorder="1" applyProtection="1">
      <protection locked="0"/>
    </xf>
    <xf numFmtId="0" fontId="14" fillId="4" borderId="67" xfId="1" applyFont="1" applyFill="1" applyBorder="1" applyAlignment="1" applyProtection="1">
      <alignment horizontal="center" vertical="top" wrapText="1"/>
      <protection locked="0"/>
    </xf>
    <xf numFmtId="1" fontId="14" fillId="24" borderId="105" xfId="1" applyNumberFormat="1" applyFont="1" applyFill="1" applyBorder="1" applyAlignment="1">
      <alignment horizontal="center" vertical="center" wrapText="1"/>
    </xf>
    <xf numFmtId="0" fontId="1" fillId="24" borderId="64" xfId="1" applyFill="1" applyBorder="1" applyAlignment="1">
      <alignment horizontal="center" wrapText="1"/>
    </xf>
    <xf numFmtId="0" fontId="1" fillId="24" borderId="120" xfId="1" applyFill="1" applyBorder="1" applyAlignment="1">
      <alignment horizontal="center" wrapText="1"/>
    </xf>
    <xf numFmtId="0" fontId="14" fillId="4" borderId="76" xfId="1" applyFont="1" applyFill="1" applyBorder="1" applyAlignment="1" applyProtection="1">
      <alignment horizontal="left"/>
      <protection locked="0"/>
    </xf>
    <xf numFmtId="0" fontId="1" fillId="4" borderId="28" xfId="1" applyFill="1" applyBorder="1" applyProtection="1">
      <protection locked="0"/>
    </xf>
    <xf numFmtId="0" fontId="1" fillId="4" borderId="29" xfId="1" applyFill="1" applyBorder="1" applyProtection="1">
      <protection locked="0"/>
    </xf>
    <xf numFmtId="0" fontId="14" fillId="4" borderId="49" xfId="1" applyFont="1" applyFill="1" applyBorder="1" applyAlignment="1" applyProtection="1">
      <alignment horizontal="center" vertical="top" wrapText="1"/>
      <protection locked="0"/>
    </xf>
    <xf numFmtId="1" fontId="14" fillId="24" borderId="76" xfId="1" applyNumberFormat="1" applyFont="1" applyFill="1" applyBorder="1" applyAlignment="1">
      <alignment horizontal="center" vertical="center" wrapText="1"/>
    </xf>
    <xf numFmtId="0" fontId="1" fillId="24" borderId="28" xfId="1" applyFill="1" applyBorder="1" applyAlignment="1">
      <alignment horizontal="center" wrapText="1"/>
    </xf>
    <xf numFmtId="0" fontId="1" fillId="24" borderId="49" xfId="1" applyFill="1" applyBorder="1" applyAlignment="1">
      <alignment horizontal="center" wrapText="1"/>
    </xf>
    <xf numFmtId="1" fontId="14" fillId="24" borderId="76" xfId="1" applyNumberFormat="1" applyFont="1" applyFill="1" applyBorder="1" applyAlignment="1" applyProtection="1">
      <alignment horizontal="center" vertical="center" wrapText="1"/>
      <protection locked="0"/>
    </xf>
    <xf numFmtId="0" fontId="1" fillId="24" borderId="28" xfId="1" applyFill="1" applyBorder="1" applyAlignment="1" applyProtection="1">
      <alignment horizontal="center" wrapText="1"/>
      <protection locked="0"/>
    </xf>
    <xf numFmtId="0" fontId="1" fillId="24" borderId="49" xfId="1" applyFill="1" applyBorder="1" applyAlignment="1" applyProtection="1">
      <alignment horizontal="center" wrapText="1"/>
      <protection locked="0"/>
    </xf>
    <xf numFmtId="168" fontId="14" fillId="0" borderId="0" xfId="1" applyNumberFormat="1" applyFont="1" applyProtection="1">
      <protection locked="0"/>
    </xf>
    <xf numFmtId="169" fontId="14" fillId="0" borderId="0" xfId="1" applyNumberFormat="1" applyFont="1" applyProtection="1">
      <protection locked="0"/>
    </xf>
    <xf numFmtId="0" fontId="14" fillId="4" borderId="123" xfId="1" applyFont="1" applyFill="1" applyBorder="1" applyAlignment="1" applyProtection="1">
      <alignment horizontal="left"/>
      <protection locked="0"/>
    </xf>
    <xf numFmtId="0" fontId="1" fillId="4" borderId="32" xfId="1" applyFill="1" applyBorder="1" applyProtection="1">
      <protection locked="0"/>
    </xf>
    <xf numFmtId="0" fontId="1" fillId="4" borderId="33" xfId="1" applyFill="1" applyBorder="1" applyProtection="1">
      <protection locked="0"/>
    </xf>
    <xf numFmtId="0" fontId="14" fillId="4" borderId="121" xfId="1" applyFont="1" applyFill="1" applyBorder="1" applyAlignment="1" applyProtection="1">
      <alignment horizontal="center" vertical="top" wrapText="1"/>
      <protection locked="0"/>
    </xf>
    <xf numFmtId="1" fontId="14" fillId="24" borderId="78" xfId="1" applyNumberFormat="1" applyFont="1" applyFill="1" applyBorder="1" applyAlignment="1" applyProtection="1">
      <alignment horizontal="center" vertical="center" wrapText="1"/>
      <protection locked="0"/>
    </xf>
    <xf numFmtId="0" fontId="1" fillId="24" borderId="79" xfId="1" applyFill="1" applyBorder="1" applyAlignment="1" applyProtection="1">
      <alignment horizontal="center" wrapText="1"/>
      <protection locked="0"/>
    </xf>
    <xf numFmtId="0" fontId="1" fillId="24" borderId="60" xfId="1" applyFill="1" applyBorder="1" applyAlignment="1" applyProtection="1">
      <alignment horizontal="center" wrapText="1"/>
      <protection locked="0"/>
    </xf>
    <xf numFmtId="0" fontId="14" fillId="17" borderId="68" xfId="1" applyFont="1" applyFill="1" applyBorder="1" applyProtection="1">
      <protection locked="0"/>
    </xf>
    <xf numFmtId="3" fontId="6" fillId="9" borderId="10" xfId="1" applyNumberFormat="1" applyFont="1" applyFill="1" applyBorder="1" applyAlignment="1">
      <alignment horizontal="center"/>
    </xf>
    <xf numFmtId="168" fontId="6" fillId="9" borderId="10" xfId="1" applyNumberFormat="1" applyFont="1" applyFill="1" applyBorder="1" applyAlignment="1">
      <alignment horizontal="center"/>
    </xf>
    <xf numFmtId="0" fontId="14" fillId="0" borderId="0" xfId="1" applyFont="1" applyAlignment="1" applyProtection="1">
      <alignment horizontal="right"/>
      <protection locked="0"/>
    </xf>
    <xf numFmtId="0" fontId="1" fillId="0" borderId="0" xfId="1" applyFill="1" applyAlignment="1">
      <alignment vertical="center"/>
    </xf>
    <xf numFmtId="0" fontId="1" fillId="0" borderId="1" xfId="1" applyFill="1" applyBorder="1" applyAlignment="1">
      <alignment vertical="center"/>
    </xf>
    <xf numFmtId="0" fontId="1" fillId="0" borderId="0" xfId="1" applyFont="1" applyFill="1" applyAlignment="1">
      <alignment vertical="center" wrapText="1"/>
    </xf>
    <xf numFmtId="164" fontId="1" fillId="0" borderId="0" xfId="1" applyNumberFormat="1" applyFill="1" applyAlignment="1">
      <alignment vertical="center"/>
    </xf>
    <xf numFmtId="0" fontId="1" fillId="0" borderId="0" xfId="1" quotePrefix="1" applyFill="1" applyAlignment="1">
      <alignment horizontal="center" vertical="center"/>
    </xf>
    <xf numFmtId="0" fontId="1" fillId="0" borderId="0" xfId="1" applyFill="1" applyAlignment="1">
      <alignment horizontal="right" vertical="center"/>
    </xf>
    <xf numFmtId="0" fontId="1" fillId="0" borderId="0" xfId="1" applyFill="1" applyAlignment="1">
      <alignment horizontal="center" vertical="center"/>
    </xf>
    <xf numFmtId="0" fontId="1" fillId="0" borderId="0" xfId="1" applyFill="1" applyAlignment="1" applyProtection="1">
      <alignment vertical="center"/>
      <protection locked="0"/>
    </xf>
    <xf numFmtId="0" fontId="1" fillId="0" borderId="0" xfId="1" quotePrefix="1" applyFill="1" applyAlignment="1">
      <alignment horizontal="right" vertical="center"/>
    </xf>
    <xf numFmtId="165" fontId="1" fillId="0" borderId="0" xfId="1" applyNumberFormat="1" applyFill="1" applyAlignment="1">
      <alignment vertical="center"/>
    </xf>
    <xf numFmtId="1" fontId="1" fillId="0" borderId="0" xfId="1" applyNumberFormat="1" applyFill="1" applyAlignment="1">
      <alignment vertical="center"/>
    </xf>
    <xf numFmtId="0" fontId="1" fillId="0" borderId="30" xfId="1" quotePrefix="1" applyFill="1" applyBorder="1" applyAlignment="1">
      <alignment horizontal="center" vertical="center"/>
    </xf>
    <xf numFmtId="0" fontId="1" fillId="0" borderId="0" xfId="1" applyNumberFormat="1" applyFill="1" applyAlignment="1">
      <alignment vertical="center"/>
    </xf>
    <xf numFmtId="0" fontId="1" fillId="0" borderId="0" xfId="1" applyFont="1" applyAlignment="1">
      <alignment vertical="center"/>
    </xf>
    <xf numFmtId="166" fontId="1" fillId="10" borderId="36" xfId="1" applyNumberFormat="1" applyFont="1" applyFill="1" applyBorder="1" applyAlignment="1">
      <alignment horizontal="center" vertical="center"/>
    </xf>
    <xf numFmtId="0" fontId="1" fillId="0" borderId="0" xfId="1" applyFont="1" applyFill="1" applyAlignment="1">
      <alignment vertical="center"/>
    </xf>
    <xf numFmtId="0" fontId="14" fillId="14" borderId="66" xfId="1" applyNumberFormat="1" applyFont="1" applyFill="1" applyBorder="1" applyAlignment="1" applyProtection="1">
      <alignment horizontal="center" vertical="center"/>
      <protection locked="0"/>
    </xf>
    <xf numFmtId="167" fontId="1" fillId="0" borderId="0" xfId="1" applyNumberFormat="1" applyFont="1" applyFill="1" applyAlignment="1">
      <alignment vertical="center"/>
    </xf>
    <xf numFmtId="0" fontId="1" fillId="0" borderId="17" xfId="1" applyFill="1" applyBorder="1" applyAlignment="1">
      <alignment horizontal="center" vertical="center"/>
    </xf>
    <xf numFmtId="1" fontId="1" fillId="0" borderId="67" xfId="1" applyNumberFormat="1" applyFill="1" applyBorder="1" applyAlignment="1">
      <alignment horizontal="right" vertical="center" wrapText="1"/>
    </xf>
    <xf numFmtId="1" fontId="1" fillId="0" borderId="64" xfId="1" applyNumberFormat="1" applyFill="1" applyBorder="1" applyAlignment="1">
      <alignment horizontal="center" vertical="center" wrapText="1"/>
    </xf>
    <xf numFmtId="168" fontId="1" fillId="0" borderId="34" xfId="1" applyNumberFormat="1" applyFill="1" applyBorder="1" applyAlignment="1">
      <alignment vertical="center"/>
    </xf>
    <xf numFmtId="169" fontId="1" fillId="0" borderId="63" xfId="1" applyNumberFormat="1" applyFill="1" applyBorder="1" applyAlignment="1">
      <alignment vertical="center"/>
    </xf>
    <xf numFmtId="169" fontId="1" fillId="0" borderId="40" xfId="1" applyNumberFormat="1" applyFill="1" applyBorder="1" applyAlignment="1">
      <alignment vertical="center"/>
    </xf>
    <xf numFmtId="15" fontId="1" fillId="12" borderId="13" xfId="1" applyNumberFormat="1" applyFont="1" applyFill="1" applyBorder="1" applyAlignment="1">
      <alignment shrinkToFit="1"/>
    </xf>
    <xf numFmtId="0" fontId="1" fillId="0" borderId="5" xfId="1" applyFill="1" applyBorder="1" applyAlignment="1">
      <alignment vertical="center"/>
    </xf>
    <xf numFmtId="0" fontId="1" fillId="0" borderId="34" xfId="1" applyFill="1" applyBorder="1" applyAlignment="1">
      <alignment horizontal="center" vertical="center"/>
    </xf>
    <xf numFmtId="0" fontId="1" fillId="0" borderId="67" xfId="1" applyFill="1" applyBorder="1" applyAlignment="1">
      <alignment horizontal="right" vertical="center" wrapText="1"/>
    </xf>
    <xf numFmtId="169" fontId="1" fillId="0" borderId="34" xfId="1" applyNumberFormat="1" applyFill="1" applyBorder="1" applyAlignment="1">
      <alignment vertical="center"/>
    </xf>
    <xf numFmtId="169" fontId="1" fillId="0" borderId="44" xfId="1" applyNumberFormat="1" applyFill="1" applyBorder="1" applyAlignment="1">
      <alignment vertical="center"/>
    </xf>
    <xf numFmtId="172" fontId="1" fillId="0" borderId="0" xfId="1" applyNumberFormat="1" applyFill="1" applyAlignment="1">
      <alignment vertical="center"/>
    </xf>
    <xf numFmtId="0" fontId="1" fillId="0" borderId="0" xfId="1" quotePrefix="1" applyFill="1" applyAlignment="1">
      <alignment vertical="center"/>
    </xf>
    <xf numFmtId="2" fontId="1" fillId="0" borderId="0" xfId="1" applyNumberFormat="1" applyFont="1" applyFill="1" applyAlignment="1">
      <alignment vertical="center"/>
    </xf>
    <xf numFmtId="0" fontId="1" fillId="0" borderId="53" xfId="1" applyFont="1" applyBorder="1" applyAlignment="1">
      <alignment horizontal="center"/>
    </xf>
    <xf numFmtId="1" fontId="1" fillId="0" borderId="59" xfId="1" applyNumberFormat="1" applyFill="1" applyBorder="1" applyAlignment="1">
      <alignment horizontal="right" vertical="center" wrapText="1"/>
    </xf>
    <xf numFmtId="0" fontId="1" fillId="0" borderId="17" xfId="1" applyFont="1" applyBorder="1" applyAlignment="1">
      <alignment horizontal="center"/>
    </xf>
    <xf numFmtId="0" fontId="1" fillId="0" borderId="8" xfId="1" applyFill="1" applyBorder="1" applyAlignment="1">
      <alignment horizontal="right" vertical="center"/>
    </xf>
    <xf numFmtId="1" fontId="1" fillId="0" borderId="28" xfId="1" applyNumberFormat="1" applyFont="1" applyFill="1" applyBorder="1" applyAlignment="1">
      <alignment horizontal="center" vertical="center"/>
    </xf>
    <xf numFmtId="169" fontId="1" fillId="0" borderId="0" xfId="1" applyNumberFormat="1" applyFill="1" applyAlignment="1">
      <alignment vertical="center"/>
    </xf>
    <xf numFmtId="0" fontId="1" fillId="0" borderId="34" xfId="1" applyFont="1" applyBorder="1" applyAlignment="1">
      <alignment horizontal="center"/>
    </xf>
    <xf numFmtId="1" fontId="1" fillId="0" borderId="35" xfId="1" applyNumberFormat="1" applyFill="1" applyBorder="1" applyAlignment="1">
      <alignment horizontal="right" vertical="center"/>
    </xf>
    <xf numFmtId="0" fontId="1" fillId="0" borderId="16" xfId="1" applyFill="1" applyBorder="1" applyAlignment="1">
      <alignment horizontal="right" vertical="center"/>
    </xf>
    <xf numFmtId="1" fontId="1" fillId="0" borderId="27" xfId="1" applyNumberFormat="1" applyFont="1" applyFill="1" applyBorder="1" applyAlignment="1">
      <alignment horizontal="center" vertical="center"/>
    </xf>
    <xf numFmtId="166" fontId="1" fillId="10" borderId="68" xfId="1" applyNumberFormat="1" applyFont="1" applyFill="1" applyBorder="1" applyAlignment="1">
      <alignment horizontal="center" vertical="center"/>
    </xf>
    <xf numFmtId="171" fontId="8" fillId="9" borderId="10" xfId="1" applyNumberFormat="1" applyFont="1" applyFill="1" applyBorder="1" applyAlignment="1" applyProtection="1">
      <alignment horizontal="center" vertical="center"/>
    </xf>
    <xf numFmtId="0" fontId="1" fillId="0" borderId="0" xfId="1" applyFill="1" applyBorder="1" applyAlignment="1">
      <alignment vertical="center"/>
    </xf>
    <xf numFmtId="0" fontId="14" fillId="13" borderId="73" xfId="1" applyFont="1" applyFill="1" applyBorder="1" applyAlignment="1" applyProtection="1">
      <alignment horizontal="left"/>
    </xf>
    <xf numFmtId="0" fontId="14" fillId="13" borderId="74" xfId="1" applyFont="1" applyFill="1" applyBorder="1" applyAlignment="1" applyProtection="1">
      <alignment horizontal="left"/>
    </xf>
    <xf numFmtId="0" fontId="1" fillId="13" borderId="74" xfId="1" applyFill="1" applyBorder="1" applyAlignment="1" applyProtection="1"/>
    <xf numFmtId="0" fontId="14" fillId="13" borderId="74" xfId="1" applyFont="1" applyFill="1" applyBorder="1" applyProtection="1"/>
    <xf numFmtId="0" fontId="14" fillId="13" borderId="75" xfId="1" applyNumberFormat="1" applyFont="1" applyFill="1" applyBorder="1" applyAlignment="1" applyProtection="1">
      <alignment horizontal="center" vertical="center"/>
    </xf>
    <xf numFmtId="0" fontId="14" fillId="13" borderId="76" xfId="1" applyFont="1" applyFill="1" applyBorder="1" applyAlignment="1" applyProtection="1">
      <alignment horizontal="left"/>
    </xf>
    <xf numFmtId="0" fontId="14" fillId="13" borderId="28" xfId="1" applyFont="1" applyFill="1" applyBorder="1" applyAlignment="1" applyProtection="1">
      <alignment horizontal="left"/>
    </xf>
    <xf numFmtId="0" fontId="1" fillId="13" borderId="28" xfId="1" applyFill="1" applyBorder="1" applyAlignment="1" applyProtection="1"/>
    <xf numFmtId="0" fontId="14" fillId="13" borderId="28" xfId="1" applyFont="1" applyFill="1" applyBorder="1" applyProtection="1"/>
    <xf numFmtId="0" fontId="14" fillId="13" borderId="77" xfId="1" applyNumberFormat="1" applyFont="1" applyFill="1" applyBorder="1" applyAlignment="1" applyProtection="1">
      <alignment horizontal="center" vertical="center"/>
    </xf>
    <xf numFmtId="168" fontId="1" fillId="0" borderId="53" xfId="1" applyNumberFormat="1" applyFill="1" applyBorder="1" applyAlignment="1">
      <alignment vertical="center"/>
    </xf>
    <xf numFmtId="169" fontId="1" fillId="0" borderId="53" xfId="1" applyNumberFormat="1" applyFill="1" applyBorder="1" applyAlignment="1">
      <alignment vertical="center"/>
    </xf>
    <xf numFmtId="169" fontId="1" fillId="0" borderId="68" xfId="1" applyNumberFormat="1" applyFill="1" applyBorder="1" applyAlignment="1">
      <alignment vertical="center"/>
    </xf>
    <xf numFmtId="0" fontId="14" fillId="13" borderId="78" xfId="1" applyFont="1" applyFill="1" applyBorder="1" applyAlignment="1" applyProtection="1">
      <alignment horizontal="left"/>
    </xf>
    <xf numFmtId="0" fontId="14" fillId="13" borderId="79" xfId="1" applyFont="1" applyFill="1" applyBorder="1" applyAlignment="1" applyProtection="1">
      <alignment horizontal="left"/>
    </xf>
    <xf numFmtId="0" fontId="1" fillId="13" borderId="79" xfId="1" applyFill="1" applyBorder="1" applyAlignment="1" applyProtection="1"/>
    <xf numFmtId="0" fontId="14" fillId="13" borderId="79" xfId="1" applyFont="1" applyFill="1" applyBorder="1" applyProtection="1"/>
    <xf numFmtId="0" fontId="14" fillId="13" borderId="80" xfId="1" applyNumberFormat="1" applyFont="1" applyFill="1" applyBorder="1" applyAlignment="1" applyProtection="1">
      <alignment horizontal="center" vertical="center"/>
    </xf>
    <xf numFmtId="0" fontId="16" fillId="0" borderId="0" xfId="1" applyFont="1" applyFill="1" applyAlignment="1">
      <alignment vertical="center"/>
    </xf>
    <xf numFmtId="0" fontId="1" fillId="0" borderId="7" xfId="1" applyFill="1" applyBorder="1" applyAlignment="1">
      <alignment vertical="center"/>
    </xf>
    <xf numFmtId="0" fontId="1" fillId="0" borderId="0" xfId="1" applyFont="1" applyFill="1" applyAlignment="1" applyProtection="1">
      <alignment vertical="center"/>
      <protection locked="0"/>
    </xf>
    <xf numFmtId="164" fontId="1" fillId="0" borderId="0" xfId="1" applyNumberFormat="1" applyFill="1" applyAlignment="1" applyProtection="1">
      <alignment vertical="center"/>
      <protection locked="0"/>
    </xf>
    <xf numFmtId="165" fontId="1" fillId="0" borderId="0" xfId="1" applyNumberFormat="1" applyFill="1" applyAlignment="1" applyProtection="1">
      <alignment vertical="center"/>
      <protection locked="0"/>
    </xf>
    <xf numFmtId="0" fontId="40" fillId="2" borderId="2" xfId="1" applyFont="1" applyFill="1" applyBorder="1" applyAlignment="1">
      <alignment horizontal="center"/>
    </xf>
    <xf numFmtId="0" fontId="17" fillId="0" borderId="3" xfId="1" applyFont="1" applyBorder="1"/>
    <xf numFmtId="0" fontId="17" fillId="0" borderId="4" xfId="1" applyFont="1" applyBorder="1"/>
    <xf numFmtId="0" fontId="6" fillId="9" borderId="57" xfId="1" applyFont="1" applyFill="1" applyBorder="1" applyAlignment="1">
      <alignment horizontal="right"/>
    </xf>
    <xf numFmtId="0" fontId="1" fillId="0" borderId="1" xfId="1" applyBorder="1"/>
    <xf numFmtId="0" fontId="1" fillId="0" borderId="16" xfId="1" applyBorder="1"/>
    <xf numFmtId="0" fontId="14" fillId="14" borderId="6" xfId="1" applyFont="1" applyFill="1" applyBorder="1" applyAlignment="1" applyProtection="1">
      <alignment vertical="top" wrapText="1"/>
      <protection locked="0"/>
    </xf>
    <xf numFmtId="0" fontId="14" fillId="14" borderId="7" xfId="1" applyFont="1" applyFill="1" applyBorder="1" applyAlignment="1" applyProtection="1">
      <alignment vertical="top" wrapText="1"/>
      <protection locked="0"/>
    </xf>
    <xf numFmtId="0" fontId="14" fillId="14" borderId="8" xfId="1" applyFont="1" applyFill="1" applyBorder="1" applyAlignment="1" applyProtection="1">
      <alignment vertical="top" wrapText="1"/>
      <protection locked="0"/>
    </xf>
    <xf numFmtId="0" fontId="14" fillId="14" borderId="5" xfId="1" applyFont="1" applyFill="1" applyBorder="1" applyAlignment="1" applyProtection="1">
      <alignment vertical="top" wrapText="1"/>
      <protection locked="0"/>
    </xf>
    <xf numFmtId="0" fontId="14" fillId="14" borderId="0" xfId="1" applyFont="1" applyFill="1" applyAlignment="1" applyProtection="1">
      <alignment vertical="top" wrapText="1"/>
      <protection locked="0"/>
    </xf>
    <xf numFmtId="0" fontId="14" fillId="14" borderId="50" xfId="1" applyFont="1" applyFill="1" applyBorder="1" applyAlignment="1" applyProtection="1">
      <alignment vertical="top" wrapText="1"/>
      <protection locked="0"/>
    </xf>
    <xf numFmtId="0" fontId="14" fillId="14" borderId="57" xfId="1" applyFont="1" applyFill="1" applyBorder="1" applyAlignment="1" applyProtection="1">
      <alignment vertical="top" wrapText="1"/>
      <protection locked="0"/>
    </xf>
    <xf numFmtId="0" fontId="14" fillId="14" borderId="1" xfId="1" applyFont="1" applyFill="1" applyBorder="1" applyAlignment="1" applyProtection="1">
      <alignment vertical="top" wrapText="1"/>
      <protection locked="0"/>
    </xf>
    <xf numFmtId="0" fontId="14" fillId="14" borderId="16" xfId="1" applyFont="1" applyFill="1" applyBorder="1" applyAlignment="1" applyProtection="1">
      <alignment vertical="top" wrapText="1"/>
      <protection locked="0"/>
    </xf>
    <xf numFmtId="0" fontId="6" fillId="9" borderId="2" xfId="1" applyFont="1" applyFill="1" applyBorder="1" applyAlignment="1">
      <alignment horizontal="right"/>
    </xf>
    <xf numFmtId="0" fontId="1" fillId="0" borderId="3" xfId="1" applyBorder="1"/>
    <xf numFmtId="0" fontId="1" fillId="0" borderId="4" xfId="1" applyBorder="1"/>
    <xf numFmtId="0" fontId="6" fillId="5" borderId="57" xfId="1" applyFont="1" applyFill="1" applyBorder="1" applyAlignment="1">
      <alignment horizontal="right"/>
    </xf>
    <xf numFmtId="0" fontId="6" fillId="2" borderId="2" xfId="1" applyFont="1" applyFill="1" applyBorder="1" applyAlignment="1">
      <alignment horizontal="right"/>
    </xf>
    <xf numFmtId="167" fontId="32" fillId="0" borderId="7" xfId="1" applyNumberFormat="1" applyFont="1" applyBorder="1" applyAlignment="1">
      <alignment horizontal="left" shrinkToFit="1"/>
    </xf>
    <xf numFmtId="0" fontId="1" fillId="0" borderId="7" xfId="1" applyBorder="1"/>
    <xf numFmtId="0" fontId="6" fillId="2" borderId="6" xfId="1" applyFont="1" applyFill="1" applyBorder="1" applyAlignment="1">
      <alignment horizontal="center"/>
    </xf>
    <xf numFmtId="0" fontId="1" fillId="2" borderId="7" xfId="1" applyFill="1" applyBorder="1" applyAlignment="1">
      <alignment horizontal="center"/>
    </xf>
    <xf numFmtId="0" fontId="1" fillId="0" borderId="8" xfId="1" applyBorder="1" applyAlignment="1">
      <alignment horizontal="center"/>
    </xf>
    <xf numFmtId="1" fontId="6" fillId="2" borderId="6" xfId="1" applyNumberFormat="1" applyFont="1" applyFill="1" applyBorder="1" applyAlignment="1">
      <alignment horizontal="center" vertical="center" wrapText="1"/>
    </xf>
    <xf numFmtId="0" fontId="8" fillId="2" borderId="7" xfId="1" applyFont="1" applyFill="1" applyBorder="1" applyAlignment="1">
      <alignment horizontal="center" vertical="center" wrapText="1"/>
    </xf>
    <xf numFmtId="0" fontId="1" fillId="0" borderId="8" xfId="1" applyBorder="1" applyAlignment="1">
      <alignment horizontal="center" wrapText="1"/>
    </xf>
    <xf numFmtId="0" fontId="8" fillId="2" borderId="5" xfId="1" applyFont="1" applyFill="1" applyBorder="1" applyAlignment="1">
      <alignment horizontal="center" vertical="center" wrapText="1"/>
    </xf>
    <xf numFmtId="0" fontId="8" fillId="2" borderId="0" xfId="1" applyFont="1" applyFill="1" applyAlignment="1">
      <alignment horizontal="center" vertical="center" wrapText="1"/>
    </xf>
    <xf numFmtId="0" fontId="1" fillId="0" borderId="50" xfId="1" applyBorder="1" applyAlignment="1">
      <alignment horizontal="center" wrapText="1"/>
    </xf>
    <xf numFmtId="0" fontId="8" fillId="2" borderId="57" xfId="1" applyFont="1" applyFill="1" applyBorder="1" applyAlignment="1">
      <alignment horizontal="center" vertical="center" wrapText="1"/>
    </xf>
    <xf numFmtId="0" fontId="8" fillId="2" borderId="1" xfId="1" applyFont="1" applyFill="1" applyBorder="1" applyAlignment="1">
      <alignment horizontal="center" vertical="center" wrapText="1"/>
    </xf>
    <xf numFmtId="0" fontId="1" fillId="0" borderId="16" xfId="1" applyBorder="1" applyAlignment="1">
      <alignment horizontal="center" wrapText="1"/>
    </xf>
    <xf numFmtId="0" fontId="6" fillId="5" borderId="6" xfId="1" applyFont="1" applyFill="1" applyBorder="1" applyAlignment="1">
      <alignment horizontal="center" vertical="center" wrapText="1"/>
    </xf>
    <xf numFmtId="0" fontId="1" fillId="5" borderId="7" xfId="1" applyFill="1" applyBorder="1"/>
    <xf numFmtId="0" fontId="1" fillId="5" borderId="98" xfId="1" applyFill="1" applyBorder="1"/>
    <xf numFmtId="0" fontId="1" fillId="5" borderId="5" xfId="1" applyFill="1" applyBorder="1"/>
    <xf numFmtId="0" fontId="1" fillId="5" borderId="0" xfId="1" applyFill="1"/>
    <xf numFmtId="0" fontId="1" fillId="5" borderId="103" xfId="1" applyFill="1" applyBorder="1"/>
    <xf numFmtId="0" fontId="1" fillId="5" borderId="57" xfId="1" applyFill="1" applyBorder="1"/>
    <xf numFmtId="0" fontId="1" fillId="5" borderId="1" xfId="1" applyFill="1" applyBorder="1"/>
    <xf numFmtId="0" fontId="1" fillId="5" borderId="122" xfId="1" applyFill="1" applyBorder="1"/>
    <xf numFmtId="0" fontId="6" fillId="5" borderId="19" xfId="1" applyFont="1" applyFill="1" applyBorder="1" applyAlignment="1">
      <alignment horizontal="center" vertical="center" wrapText="1"/>
    </xf>
    <xf numFmtId="0" fontId="6" fillId="5" borderId="30" xfId="1" applyFont="1" applyFill="1" applyBorder="1" applyAlignment="1">
      <alignment horizontal="center" vertical="center" wrapText="1"/>
    </xf>
    <xf numFmtId="0" fontId="6" fillId="5" borderId="56" xfId="1" applyFont="1" applyFill="1" applyBorder="1" applyAlignment="1">
      <alignment horizontal="center" vertical="center" wrapText="1"/>
    </xf>
    <xf numFmtId="0" fontId="6" fillId="5" borderId="52" xfId="1" applyFont="1" applyFill="1" applyBorder="1" applyAlignment="1">
      <alignment horizontal="center" wrapText="1"/>
    </xf>
    <xf numFmtId="0" fontId="6" fillId="5" borderId="96" xfId="1" applyFont="1" applyFill="1" applyBorder="1" applyAlignment="1">
      <alignment horizontal="center" wrapText="1"/>
    </xf>
    <xf numFmtId="0" fontId="6" fillId="5" borderId="59" xfId="1" applyFont="1" applyFill="1" applyBorder="1" applyAlignment="1">
      <alignment horizontal="center" wrapText="1"/>
    </xf>
    <xf numFmtId="0" fontId="6" fillId="5" borderId="73" xfId="1" applyFont="1" applyFill="1" applyBorder="1" applyAlignment="1">
      <alignment horizontal="right"/>
    </xf>
    <xf numFmtId="0" fontId="1" fillId="0" borderId="74" xfId="1" applyBorder="1"/>
    <xf numFmtId="0" fontId="1" fillId="0" borderId="26" xfId="1" applyBorder="1"/>
    <xf numFmtId="0" fontId="14" fillId="13" borderId="34" xfId="1" applyFont="1" applyFill="1" applyBorder="1" applyAlignment="1">
      <alignment horizontal="center" vertical="center"/>
    </xf>
    <xf numFmtId="0" fontId="14" fillId="13" borderId="35" xfId="1" applyFont="1" applyFill="1" applyBorder="1" applyAlignment="1">
      <alignment horizontal="center" vertical="center"/>
    </xf>
    <xf numFmtId="0" fontId="14" fillId="13" borderId="53" xfId="1" applyFont="1" applyFill="1" applyBorder="1" applyAlignment="1">
      <alignment horizontal="center" vertical="center"/>
    </xf>
    <xf numFmtId="0" fontId="14" fillId="13" borderId="61" xfId="1" applyFont="1" applyFill="1" applyBorder="1" applyAlignment="1">
      <alignment horizontal="center" vertical="center"/>
    </xf>
    <xf numFmtId="0" fontId="6" fillId="5" borderId="17" xfId="1" applyFont="1" applyFill="1" applyBorder="1" applyAlignment="1">
      <alignment horizontal="right"/>
    </xf>
    <xf numFmtId="0" fontId="1" fillId="0" borderId="38" xfId="1" applyBorder="1"/>
    <xf numFmtId="0" fontId="1" fillId="0" borderId="19" xfId="1" applyBorder="1"/>
    <xf numFmtId="0" fontId="6" fillId="5" borderId="41" xfId="1" applyFont="1" applyFill="1" applyBorder="1" applyAlignment="1">
      <alignment horizontal="right"/>
    </xf>
    <xf numFmtId="0" fontId="1" fillId="0" borderId="42" xfId="1" applyBorder="1"/>
    <xf numFmtId="171" fontId="6" fillId="9" borderId="31" xfId="1" applyNumberFormat="1" applyFont="1" applyFill="1" applyBorder="1" applyAlignment="1">
      <alignment horizontal="center" vertical="center"/>
    </xf>
    <xf numFmtId="0" fontId="1" fillId="0" borderId="121" xfId="1" applyBorder="1" applyAlignment="1">
      <alignment horizontal="center" vertical="center"/>
    </xf>
    <xf numFmtId="0" fontId="6" fillId="13" borderId="2" xfId="1" applyFont="1" applyFill="1" applyBorder="1" applyAlignment="1">
      <alignment horizontal="center" vertical="center" wrapText="1"/>
    </xf>
    <xf numFmtId="0" fontId="0" fillId="0" borderId="3" xfId="0" applyBorder="1"/>
    <xf numFmtId="0" fontId="0" fillId="0" borderId="4" xfId="0" applyBorder="1"/>
    <xf numFmtId="0" fontId="6" fillId="2" borderId="5" xfId="1" applyFont="1" applyFill="1" applyBorder="1" applyAlignment="1">
      <alignment horizontal="center"/>
    </xf>
    <xf numFmtId="0" fontId="6" fillId="2" borderId="0" xfId="1" applyFont="1" applyFill="1" applyAlignment="1">
      <alignment horizontal="center"/>
    </xf>
    <xf numFmtId="0" fontId="1" fillId="0" borderId="50" xfId="1" applyBorder="1"/>
    <xf numFmtId="0" fontId="14" fillId="5" borderId="99" xfId="1" applyFont="1" applyFill="1" applyBorder="1" applyAlignment="1">
      <alignment vertical="top" wrapText="1"/>
    </xf>
    <xf numFmtId="0" fontId="1" fillId="0" borderId="7" xfId="1" applyBorder="1" applyAlignment="1">
      <alignment vertical="top" wrapText="1"/>
    </xf>
    <xf numFmtId="0" fontId="1" fillId="0" borderId="8" xfId="1" applyBorder="1" applyAlignment="1">
      <alignment vertical="top" wrapText="1"/>
    </xf>
    <xf numFmtId="0" fontId="1" fillId="0" borderId="104" xfId="1" applyBorder="1" applyAlignment="1">
      <alignment vertical="top" wrapText="1"/>
    </xf>
    <xf numFmtId="0" fontId="1" fillId="0" borderId="0" xfId="1" applyAlignment="1">
      <alignment vertical="top" wrapText="1"/>
    </xf>
    <xf numFmtId="0" fontId="1" fillId="0" borderId="50" xfId="1" applyBorder="1" applyAlignment="1">
      <alignment vertical="top" wrapText="1"/>
    </xf>
    <xf numFmtId="0" fontId="6" fillId="2" borderId="2" xfId="1" applyFont="1" applyFill="1" applyBorder="1" applyAlignment="1">
      <alignment horizontal="center"/>
    </xf>
    <xf numFmtId="0" fontId="14" fillId="13" borderId="17" xfId="1" applyFont="1" applyFill="1" applyBorder="1" applyAlignment="1">
      <alignment horizontal="center" vertical="center"/>
    </xf>
    <xf numFmtId="0" fontId="14" fillId="13" borderId="20" xfId="1" applyFont="1" applyFill="1" applyBorder="1" applyAlignment="1">
      <alignment horizontal="center" vertical="center"/>
    </xf>
    <xf numFmtId="3" fontId="36" fillId="9" borderId="97" xfId="1" applyNumberFormat="1" applyFont="1" applyFill="1" applyBorder="1" applyAlignment="1">
      <alignment horizontal="center" vertical="center"/>
    </xf>
    <xf numFmtId="0" fontId="1" fillId="9" borderId="109" xfId="1" applyFill="1" applyBorder="1" applyAlignment="1">
      <alignment horizontal="center" vertical="center"/>
    </xf>
    <xf numFmtId="0" fontId="1" fillId="9" borderId="102" xfId="1" applyFill="1" applyBorder="1" applyAlignment="1">
      <alignment horizontal="center" vertical="center"/>
    </xf>
    <xf numFmtId="0" fontId="14" fillId="0" borderId="30" xfId="0" applyFont="1" applyBorder="1" applyAlignment="1">
      <alignment horizontal="center"/>
    </xf>
    <xf numFmtId="0" fontId="0" fillId="0" borderId="30" xfId="0" applyBorder="1" applyAlignment="1">
      <alignment horizontal="center"/>
    </xf>
    <xf numFmtId="0" fontId="6" fillId="2" borderId="85" xfId="1" applyFont="1" applyFill="1" applyBorder="1" applyAlignment="1">
      <alignment horizontal="center" vertical="center" wrapText="1"/>
    </xf>
    <xf numFmtId="0" fontId="1" fillId="0" borderId="86" xfId="1" applyBorder="1" applyAlignment="1">
      <alignment vertical="center" wrapText="1"/>
    </xf>
    <xf numFmtId="0" fontId="1" fillId="0" borderId="115" xfId="1" applyBorder="1" applyAlignment="1">
      <alignment vertical="center"/>
    </xf>
    <xf numFmtId="0" fontId="6" fillId="7" borderId="17" xfId="1" applyFont="1" applyFill="1" applyBorder="1" applyAlignment="1" applyProtection="1">
      <alignment horizontal="center" vertical="center" wrapText="1"/>
      <protection locked="0"/>
    </xf>
    <xf numFmtId="0" fontId="6" fillId="7" borderId="34" xfId="1" applyFont="1" applyFill="1" applyBorder="1" applyAlignment="1" applyProtection="1">
      <alignment horizontal="center" vertical="center" wrapText="1"/>
      <protection locked="0"/>
    </xf>
    <xf numFmtId="0" fontId="6" fillId="7" borderId="53" xfId="1" applyFont="1" applyFill="1" applyBorder="1" applyAlignment="1" applyProtection="1">
      <alignment horizontal="center" vertical="center" wrapText="1"/>
      <protection locked="0"/>
    </xf>
    <xf numFmtId="0" fontId="6" fillId="7" borderId="19" xfId="1" applyFont="1" applyFill="1" applyBorder="1" applyAlignment="1" applyProtection="1">
      <alignment horizontal="center" vertical="center" wrapText="1"/>
      <protection locked="0"/>
    </xf>
    <xf numFmtId="0" fontId="6" fillId="7" borderId="30" xfId="1" applyFont="1" applyFill="1" applyBorder="1" applyAlignment="1" applyProtection="1">
      <alignment horizontal="center" vertical="center" wrapText="1"/>
      <protection locked="0"/>
    </xf>
    <xf numFmtId="0" fontId="6" fillId="7" borderId="56" xfId="1" applyFont="1" applyFill="1" applyBorder="1" applyAlignment="1" applyProtection="1">
      <alignment horizontal="center" vertical="center" wrapText="1"/>
      <protection locked="0"/>
    </xf>
    <xf numFmtId="0" fontId="6" fillId="7" borderId="20" xfId="1" applyFont="1" applyFill="1" applyBorder="1" applyAlignment="1" applyProtection="1">
      <alignment horizontal="center" vertical="center" wrapText="1"/>
      <protection locked="0"/>
    </xf>
    <xf numFmtId="0" fontId="6" fillId="7" borderId="35" xfId="1" applyFont="1" applyFill="1" applyBorder="1" applyAlignment="1" applyProtection="1">
      <alignment horizontal="center" vertical="center" wrapText="1"/>
      <protection locked="0"/>
    </xf>
    <xf numFmtId="0" fontId="6" fillId="7" borderId="61" xfId="1" applyFont="1" applyFill="1" applyBorder="1" applyAlignment="1" applyProtection="1">
      <alignment horizontal="center" vertical="center" wrapText="1"/>
      <protection locked="0"/>
    </xf>
    <xf numFmtId="0" fontId="14" fillId="13" borderId="51" xfId="1" applyFont="1" applyFill="1" applyBorder="1" applyAlignment="1">
      <alignment horizontal="center" vertical="center" textRotation="90" wrapText="1"/>
    </xf>
    <xf numFmtId="0" fontId="1" fillId="0" borderId="91" xfId="1" applyBorder="1"/>
    <xf numFmtId="0" fontId="1" fillId="0" borderId="58" xfId="1" applyBorder="1"/>
    <xf numFmtId="0" fontId="14" fillId="13" borderId="92" xfId="1" applyFont="1" applyFill="1" applyBorder="1" applyAlignment="1">
      <alignment horizontal="center" vertical="center" textRotation="90" wrapText="1"/>
    </xf>
    <xf numFmtId="0" fontId="1" fillId="0" borderId="94" xfId="1" applyBorder="1"/>
    <xf numFmtId="0" fontId="1" fillId="0" borderId="100" xfId="1" applyBorder="1"/>
    <xf numFmtId="0" fontId="14" fillId="13" borderId="52" xfId="1" applyFont="1" applyFill="1" applyBorder="1" applyAlignment="1">
      <alignment horizontal="center" vertical="center" textRotation="90" wrapText="1"/>
    </xf>
    <xf numFmtId="0" fontId="1" fillId="0" borderId="96" xfId="1" applyBorder="1"/>
    <xf numFmtId="0" fontId="1" fillId="0" borderId="59" xfId="1" applyBorder="1"/>
    <xf numFmtId="0" fontId="14" fillId="17" borderId="85" xfId="1" applyFont="1" applyFill="1" applyBorder="1" applyAlignment="1" applyProtection="1">
      <alignment vertical="top" wrapText="1"/>
      <protection locked="0"/>
    </xf>
    <xf numFmtId="0" fontId="0" fillId="0" borderId="86" xfId="0" applyBorder="1"/>
    <xf numFmtId="0" fontId="0" fillId="0" borderId="15" xfId="0" applyBorder="1"/>
    <xf numFmtId="0" fontId="6" fillId="13" borderId="99" xfId="1" applyFont="1" applyFill="1" applyBorder="1" applyAlignment="1">
      <alignment horizontal="center" vertical="center" wrapText="1"/>
    </xf>
    <xf numFmtId="0" fontId="1" fillId="13" borderId="104" xfId="1" applyFill="1" applyBorder="1"/>
    <xf numFmtId="0" fontId="1" fillId="13" borderId="110" xfId="1" applyFill="1" applyBorder="1"/>
    <xf numFmtId="0" fontId="1" fillId="13" borderId="117" xfId="1" applyFill="1" applyBorder="1"/>
    <xf numFmtId="0" fontId="6" fillId="13" borderId="54" xfId="1" applyFont="1" applyFill="1" applyBorder="1" applyAlignment="1">
      <alignment vertical="center"/>
    </xf>
    <xf numFmtId="0" fontId="6" fillId="13" borderId="79" xfId="1" applyFont="1" applyFill="1" applyBorder="1" applyAlignment="1">
      <alignment vertical="center"/>
    </xf>
    <xf numFmtId="0" fontId="6" fillId="13" borderId="60" xfId="1" applyFont="1" applyFill="1" applyBorder="1" applyAlignment="1">
      <alignment vertical="center"/>
    </xf>
    <xf numFmtId="0" fontId="1" fillId="5" borderId="6" xfId="1" applyFill="1" applyBorder="1" applyAlignment="1">
      <alignment vertical="center"/>
    </xf>
    <xf numFmtId="0" fontId="1" fillId="5" borderId="7" xfId="1" applyFill="1" applyBorder="1" applyAlignment="1">
      <alignment vertical="center"/>
    </xf>
    <xf numFmtId="0" fontId="1" fillId="5" borderId="8" xfId="1" applyFill="1" applyBorder="1" applyAlignment="1">
      <alignment vertical="center"/>
    </xf>
    <xf numFmtId="0" fontId="1" fillId="5" borderId="57" xfId="1" applyFill="1" applyBorder="1" applyAlignment="1">
      <alignment vertical="center"/>
    </xf>
    <xf numFmtId="0" fontId="1" fillId="5" borderId="1" xfId="1" applyFill="1" applyBorder="1" applyAlignment="1">
      <alignment vertical="center"/>
    </xf>
    <xf numFmtId="0" fontId="1" fillId="5" borderId="16" xfId="1" applyFill="1" applyBorder="1" applyAlignment="1">
      <alignment vertical="center"/>
    </xf>
    <xf numFmtId="0" fontId="6" fillId="13" borderId="76" xfId="1" applyFont="1" applyFill="1" applyBorder="1" applyAlignment="1">
      <alignment horizontal="right" vertical="center"/>
    </xf>
    <xf numFmtId="0" fontId="1" fillId="0" borderId="28" xfId="1" applyBorder="1" applyAlignment="1">
      <alignment vertical="center"/>
    </xf>
    <xf numFmtId="0" fontId="1" fillId="0" borderId="49" xfId="1" applyBorder="1" applyAlignment="1">
      <alignment vertical="center"/>
    </xf>
    <xf numFmtId="0" fontId="6" fillId="2" borderId="2" xfId="1" applyFont="1" applyFill="1" applyBorder="1" applyAlignment="1">
      <alignment horizontal="center" vertical="center"/>
    </xf>
    <xf numFmtId="0" fontId="1" fillId="2" borderId="3" xfId="1" applyFill="1" applyBorder="1"/>
    <xf numFmtId="0" fontId="1" fillId="2" borderId="4" xfId="1" applyFill="1" applyBorder="1"/>
    <xf numFmtId="0" fontId="6" fillId="13" borderId="78" xfId="1" applyFont="1" applyFill="1" applyBorder="1" applyAlignment="1">
      <alignment horizontal="right" vertical="center" wrapText="1"/>
    </xf>
    <xf numFmtId="0" fontId="1" fillId="0" borderId="79" xfId="1" applyBorder="1" applyAlignment="1">
      <alignment vertical="center"/>
    </xf>
    <xf numFmtId="0" fontId="1" fillId="0" borderId="60" xfId="1" applyBorder="1" applyAlignment="1">
      <alignment vertical="center"/>
    </xf>
    <xf numFmtId="0" fontId="6" fillId="5" borderId="57" xfId="1" applyFont="1" applyFill="1" applyBorder="1" applyAlignment="1">
      <alignment horizontal="center" vertical="center"/>
    </xf>
    <xf numFmtId="0" fontId="1" fillId="5" borderId="1" xfId="1" applyFill="1" applyBorder="1" applyAlignment="1">
      <alignment horizontal="center" vertical="center"/>
    </xf>
    <xf numFmtId="0" fontId="1" fillId="5" borderId="16" xfId="1" applyFill="1" applyBorder="1" applyAlignment="1">
      <alignment horizontal="center" vertical="center"/>
    </xf>
    <xf numFmtId="0" fontId="6" fillId="2" borderId="92" xfId="1" applyFont="1" applyFill="1" applyBorder="1" applyAlignment="1">
      <alignment horizontal="center" vertical="center" wrapText="1"/>
    </xf>
    <xf numFmtId="0" fontId="6" fillId="2" borderId="52" xfId="1" applyFont="1" applyFill="1" applyBorder="1" applyAlignment="1">
      <alignment horizontal="center" vertical="center" wrapText="1"/>
    </xf>
    <xf numFmtId="0" fontId="6" fillId="2" borderId="96" xfId="1" applyFont="1" applyFill="1" applyBorder="1" applyAlignment="1">
      <alignment horizontal="center" vertical="center" wrapText="1"/>
    </xf>
    <xf numFmtId="0" fontId="1" fillId="0" borderId="59" xfId="1" applyBorder="1" applyAlignment="1">
      <alignment wrapText="1"/>
    </xf>
    <xf numFmtId="0" fontId="6" fillId="13" borderId="97" xfId="1" applyFont="1" applyFill="1" applyBorder="1" applyAlignment="1">
      <alignment horizontal="center" vertical="center" wrapText="1"/>
    </xf>
    <xf numFmtId="0" fontId="1" fillId="0" borderId="102" xfId="1" applyBorder="1"/>
    <xf numFmtId="0" fontId="6" fillId="13" borderId="98" xfId="1" applyFont="1" applyFill="1" applyBorder="1" applyAlignment="1">
      <alignment horizontal="center" vertical="center" wrapText="1"/>
    </xf>
    <xf numFmtId="0" fontId="1" fillId="13" borderId="103" xfId="1" applyFill="1" applyBorder="1"/>
    <xf numFmtId="0" fontId="1" fillId="13" borderId="100" xfId="1" applyFill="1" applyBorder="1"/>
    <xf numFmtId="0" fontId="6" fillId="13" borderId="92" xfId="1" applyFont="1" applyFill="1" applyBorder="1" applyAlignment="1">
      <alignment horizontal="center" vertical="center" wrapText="1"/>
    </xf>
    <xf numFmtId="0" fontId="1" fillId="13" borderId="94" xfId="1" applyFill="1" applyBorder="1"/>
    <xf numFmtId="0" fontId="6" fillId="2" borderId="85" xfId="1" applyFont="1" applyFill="1" applyBorder="1" applyAlignment="1">
      <alignment horizontal="center" vertical="center"/>
    </xf>
    <xf numFmtId="0" fontId="6" fillId="2" borderId="86" xfId="1" applyFont="1" applyFill="1" applyBorder="1" applyAlignment="1">
      <alignment horizontal="center" vertical="center"/>
    </xf>
    <xf numFmtId="0" fontId="1" fillId="0" borderId="86" xfId="1" applyBorder="1" applyAlignment="1">
      <alignment vertical="center"/>
    </xf>
    <xf numFmtId="0" fontId="1" fillId="0" borderId="15" xfId="1" applyBorder="1" applyAlignment="1">
      <alignment vertical="center"/>
    </xf>
    <xf numFmtId="0" fontId="6" fillId="2" borderId="6" xfId="1" applyFont="1" applyFill="1" applyBorder="1" applyAlignment="1">
      <alignment horizontal="center" vertical="center" wrapText="1"/>
    </xf>
    <xf numFmtId="0" fontId="1" fillId="0" borderId="8" xfId="1" applyBorder="1"/>
    <xf numFmtId="0" fontId="1" fillId="0" borderId="5" xfId="1" applyBorder="1"/>
    <xf numFmtId="0" fontId="6" fillId="2" borderId="94" xfId="1" applyFont="1" applyFill="1" applyBorder="1" applyAlignment="1">
      <alignment horizontal="center" vertical="center" wrapText="1"/>
    </xf>
    <xf numFmtId="0" fontId="1" fillId="0" borderId="100" xfId="1" applyBorder="1" applyAlignment="1">
      <alignment horizontal="center" vertical="center" wrapText="1"/>
    </xf>
    <xf numFmtId="0" fontId="35" fillId="2" borderId="92" xfId="1" applyFont="1" applyFill="1" applyBorder="1" applyAlignment="1">
      <alignment horizontal="center" vertical="center" wrapText="1"/>
    </xf>
    <xf numFmtId="0" fontId="6" fillId="2" borderId="93" xfId="1" applyFont="1" applyFill="1" applyBorder="1" applyAlignment="1">
      <alignment horizontal="center" vertical="center" wrapText="1"/>
    </xf>
    <xf numFmtId="0" fontId="6" fillId="2" borderId="95" xfId="1" applyFont="1" applyFill="1" applyBorder="1" applyAlignment="1">
      <alignment horizontal="center" vertical="center" wrapText="1"/>
    </xf>
    <xf numFmtId="0" fontId="1" fillId="0" borderId="101" xfId="1" applyBorder="1" applyAlignment="1">
      <alignment horizontal="center" vertical="center" wrapText="1"/>
    </xf>
    <xf numFmtId="0" fontId="14" fillId="0" borderId="0" xfId="1" applyFont="1" applyAlignment="1">
      <alignment horizontal="center" vertical="top"/>
    </xf>
    <xf numFmtId="0" fontId="1" fillId="0" borderId="0" xfId="1" applyAlignment="1">
      <alignment horizontal="center" vertical="top"/>
    </xf>
    <xf numFmtId="0" fontId="2" fillId="2" borderId="7" xfId="1" applyFont="1" applyFill="1" applyBorder="1" applyAlignment="1">
      <alignment horizontal="center" vertical="center"/>
    </xf>
    <xf numFmtId="0" fontId="0" fillId="0" borderId="7" xfId="0" applyBorder="1"/>
    <xf numFmtId="0" fontId="0" fillId="0" borderId="1" xfId="0" applyBorder="1"/>
    <xf numFmtId="0" fontId="2" fillId="2" borderId="6" xfId="1" applyFont="1" applyFill="1" applyBorder="1" applyAlignment="1">
      <alignment horizontal="center" vertical="center" wrapText="1"/>
    </xf>
    <xf numFmtId="0" fontId="0" fillId="0" borderId="57" xfId="0" applyBorder="1" applyAlignment="1">
      <alignment horizontal="center" vertical="center" wrapText="1"/>
    </xf>
    <xf numFmtId="0" fontId="2" fillId="2" borderId="7" xfId="1" applyFont="1" applyFill="1" applyBorder="1" applyAlignment="1">
      <alignment horizontal="center" vertical="center" shrinkToFit="1"/>
    </xf>
    <xf numFmtId="0" fontId="0" fillId="0" borderId="7" xfId="0" applyBorder="1" applyAlignment="1">
      <alignment horizontal="center" vertical="center" shrinkToFit="1"/>
    </xf>
    <xf numFmtId="0" fontId="0" fillId="0" borderId="1" xfId="0" applyBorder="1" applyAlignment="1">
      <alignment horizontal="center" vertical="center" shrinkToFit="1"/>
    </xf>
    <xf numFmtId="0" fontId="6" fillId="5" borderId="6" xfId="1" applyFont="1" applyFill="1" applyBorder="1" applyAlignment="1">
      <alignment horizontal="center" vertical="center"/>
    </xf>
    <xf numFmtId="0" fontId="6" fillId="5" borderId="7" xfId="1" applyFont="1" applyFill="1" applyBorder="1" applyAlignment="1">
      <alignment horizontal="center" vertical="center"/>
    </xf>
    <xf numFmtId="0" fontId="6" fillId="5" borderId="8" xfId="1" applyFont="1" applyFill="1" applyBorder="1" applyAlignment="1">
      <alignment horizontal="center" vertical="center"/>
    </xf>
    <xf numFmtId="0" fontId="6" fillId="5" borderId="5" xfId="1" applyFont="1" applyFill="1" applyBorder="1" applyAlignment="1">
      <alignment horizontal="center" vertical="center"/>
    </xf>
    <xf numFmtId="0" fontId="6" fillId="5" borderId="0" xfId="1" applyFont="1" applyFill="1" applyAlignment="1">
      <alignment horizontal="center" vertical="center"/>
    </xf>
    <xf numFmtId="0" fontId="6" fillId="5" borderId="50" xfId="1" applyFont="1" applyFill="1" applyBorder="1" applyAlignment="1">
      <alignment horizontal="center" vertical="center"/>
    </xf>
    <xf numFmtId="0" fontId="6" fillId="5" borderId="1" xfId="1" applyFont="1" applyFill="1" applyBorder="1" applyAlignment="1">
      <alignment horizontal="center" vertical="center"/>
    </xf>
    <xf numFmtId="0" fontId="6" fillId="5" borderId="16" xfId="1" applyFont="1" applyFill="1" applyBorder="1" applyAlignment="1">
      <alignment horizontal="center" vertical="center"/>
    </xf>
    <xf numFmtId="0" fontId="2" fillId="5" borderId="6" xfId="1" applyFont="1" applyFill="1" applyBorder="1" applyAlignment="1">
      <alignment horizontal="center" vertical="center"/>
    </xf>
    <xf numFmtId="0" fontId="1" fillId="0" borderId="87" xfId="1" applyBorder="1"/>
    <xf numFmtId="0" fontId="1" fillId="0" borderId="57" xfId="1" applyBorder="1"/>
    <xf numFmtId="0" fontId="1" fillId="0" borderId="89" xfId="1" applyBorder="1"/>
    <xf numFmtId="0" fontId="2" fillId="5" borderId="88" xfId="1" applyFont="1" applyFill="1" applyBorder="1" applyAlignment="1">
      <alignment horizontal="center" vertical="center"/>
    </xf>
    <xf numFmtId="0" fontId="1" fillId="0" borderId="90" xfId="1" applyBorder="1"/>
    <xf numFmtId="0" fontId="6" fillId="13" borderId="18" xfId="1" applyFont="1" applyFill="1" applyBorder="1" applyAlignment="1">
      <alignment vertical="center"/>
    </xf>
    <xf numFmtId="0" fontId="0" fillId="0" borderId="74" xfId="0" applyBorder="1" applyAlignment="1">
      <alignment vertical="center"/>
    </xf>
    <xf numFmtId="0" fontId="0" fillId="0" borderId="26" xfId="0" applyBorder="1" applyAlignment="1">
      <alignment vertical="center"/>
    </xf>
    <xf numFmtId="0" fontId="6" fillId="2" borderId="4" xfId="1" applyFont="1" applyFill="1" applyBorder="1" applyAlignment="1">
      <alignment horizontal="center" vertical="center"/>
    </xf>
    <xf numFmtId="0" fontId="6" fillId="13" borderId="73" xfId="1" applyFont="1" applyFill="1" applyBorder="1" applyAlignment="1">
      <alignment horizontal="right" vertical="center"/>
    </xf>
    <xf numFmtId="0" fontId="6" fillId="13" borderId="74" xfId="1" applyFont="1" applyFill="1" applyBorder="1" applyAlignment="1">
      <alignment horizontal="right" vertical="center"/>
    </xf>
    <xf numFmtId="0" fontId="6" fillId="13" borderId="26" xfId="1" applyFont="1" applyFill="1" applyBorder="1" applyAlignment="1">
      <alignment horizontal="right" vertical="center"/>
    </xf>
    <xf numFmtId="0" fontId="34" fillId="4" borderId="2" xfId="1" applyFont="1" applyFill="1" applyBorder="1" applyAlignment="1" applyProtection="1">
      <alignment horizontal="center" vertical="center"/>
      <protection locked="0"/>
    </xf>
    <xf numFmtId="0" fontId="34" fillId="4" borderId="4" xfId="1" applyFont="1" applyFill="1" applyBorder="1" applyAlignment="1" applyProtection="1">
      <alignment horizontal="center" vertical="center"/>
      <protection locked="0"/>
    </xf>
    <xf numFmtId="0" fontId="6" fillId="5" borderId="17" xfId="1" applyFont="1" applyFill="1" applyBorder="1" applyAlignment="1">
      <alignment horizontal="center" vertical="center" wrapText="1"/>
    </xf>
    <xf numFmtId="0" fontId="1" fillId="0" borderId="34" xfId="1" applyBorder="1" applyAlignment="1">
      <alignment horizontal="center" vertical="center" wrapText="1"/>
    </xf>
    <xf numFmtId="0" fontId="1" fillId="0" borderId="53" xfId="1" applyBorder="1" applyAlignment="1">
      <alignment horizontal="center" vertical="center" wrapText="1"/>
    </xf>
    <xf numFmtId="0" fontId="6" fillId="5" borderId="18" xfId="1" applyFont="1" applyFill="1" applyBorder="1" applyAlignment="1">
      <alignment horizontal="center" vertical="center" wrapText="1"/>
    </xf>
    <xf numFmtId="0" fontId="1" fillId="0" borderId="27" xfId="1" applyBorder="1" applyAlignment="1">
      <alignment horizontal="center" vertical="center" wrapText="1"/>
    </xf>
    <xf numFmtId="0" fontId="1" fillId="0" borderId="54" xfId="1" applyBorder="1" applyAlignment="1">
      <alignment horizontal="center" vertical="center" wrapText="1"/>
    </xf>
    <xf numFmtId="0" fontId="1" fillId="0" borderId="19" xfId="1" applyBorder="1" applyAlignment="1">
      <alignment horizontal="center" vertical="center" wrapText="1"/>
    </xf>
    <xf numFmtId="0" fontId="1" fillId="0" borderId="30" xfId="1" applyBorder="1" applyAlignment="1">
      <alignment horizontal="center" vertical="center" wrapText="1"/>
    </xf>
    <xf numFmtId="0" fontId="1" fillId="0" borderId="41" xfId="1" applyBorder="1" applyAlignment="1">
      <alignment horizontal="center" vertical="center" wrapText="1"/>
    </xf>
    <xf numFmtId="0" fontId="1" fillId="0" borderId="42" xfId="1" applyBorder="1" applyAlignment="1">
      <alignment horizontal="center" vertical="center" wrapText="1"/>
    </xf>
    <xf numFmtId="0" fontId="2" fillId="2" borderId="2" xfId="1" applyFont="1" applyFill="1" applyBorder="1" applyAlignment="1">
      <alignment horizontal="center" vertical="center"/>
    </xf>
    <xf numFmtId="0" fontId="2" fillId="2" borderId="3" xfId="1" applyFont="1" applyFill="1" applyBorder="1" applyAlignment="1">
      <alignment horizontal="center" vertical="center"/>
    </xf>
    <xf numFmtId="0" fontId="2" fillId="2" borderId="4" xfId="1" applyFont="1" applyFill="1" applyBorder="1" applyAlignment="1">
      <alignment horizontal="center" vertical="center"/>
    </xf>
    <xf numFmtId="0" fontId="3" fillId="2" borderId="6" xfId="1" applyFont="1" applyFill="1" applyBorder="1" applyAlignment="1">
      <alignment horizontal="center" vertical="center"/>
    </xf>
    <xf numFmtId="0" fontId="1" fillId="2" borderId="7" xfId="1" applyFill="1" applyBorder="1" applyAlignment="1">
      <alignment vertical="center"/>
    </xf>
    <xf numFmtId="0" fontId="1" fillId="2" borderId="8" xfId="1" applyFill="1" applyBorder="1" applyAlignment="1">
      <alignment vertical="center"/>
    </xf>
    <xf numFmtId="0" fontId="3" fillId="2" borderId="2" xfId="1" applyFont="1" applyFill="1" applyBorder="1" applyAlignment="1">
      <alignment horizontal="center" vertical="center"/>
    </xf>
    <xf numFmtId="0" fontId="1" fillId="2" borderId="3" xfId="1" applyFill="1" applyBorder="1" applyAlignment="1">
      <alignment vertical="center"/>
    </xf>
    <xf numFmtId="0" fontId="1" fillId="2" borderId="4" xfId="1" applyFill="1" applyBorder="1" applyAlignment="1">
      <alignment vertical="center"/>
    </xf>
    <xf numFmtId="0" fontId="4" fillId="3" borderId="6" xfId="1" applyFont="1" applyFill="1" applyBorder="1" applyAlignment="1">
      <alignment horizontal="right" vertical="center"/>
    </xf>
    <xf numFmtId="0" fontId="4" fillId="3" borderId="7" xfId="1" applyFont="1" applyFill="1" applyBorder="1" applyAlignment="1">
      <alignment horizontal="right" vertical="center"/>
    </xf>
    <xf numFmtId="0" fontId="4" fillId="3" borderId="8" xfId="1" applyFont="1" applyFill="1" applyBorder="1" applyAlignment="1">
      <alignment horizontal="right" vertical="center"/>
    </xf>
    <xf numFmtId="1" fontId="5" fillId="4" borderId="9" xfId="1" applyNumberFormat="1" applyFont="1" applyFill="1" applyBorder="1" applyAlignment="1" applyProtection="1">
      <alignment horizontal="center" vertical="center"/>
      <protection locked="0"/>
    </xf>
    <xf numFmtId="1" fontId="5" fillId="4" borderId="8" xfId="1" applyNumberFormat="1" applyFont="1" applyFill="1" applyBorder="1" applyAlignment="1" applyProtection="1">
      <alignment horizontal="center" vertical="center"/>
      <protection locked="0"/>
    </xf>
    <xf numFmtId="0" fontId="6" fillId="5" borderId="2" xfId="1" applyFont="1" applyFill="1" applyBorder="1" applyAlignment="1">
      <alignment horizontal="center" vertical="center" wrapText="1"/>
    </xf>
    <xf numFmtId="0" fontId="1" fillId="5" borderId="3" xfId="1" applyFont="1" applyFill="1" applyBorder="1" applyAlignment="1">
      <alignment horizontal="center" vertical="center" wrapText="1"/>
    </xf>
    <xf numFmtId="0" fontId="1" fillId="7" borderId="17" xfId="1" applyFill="1" applyBorder="1" applyAlignment="1">
      <alignment horizontal="center" vertical="center" wrapText="1"/>
    </xf>
    <xf numFmtId="0" fontId="1" fillId="0" borderId="34" xfId="1" applyBorder="1" applyAlignment="1"/>
    <xf numFmtId="0" fontId="1" fillId="0" borderId="53" xfId="1" applyBorder="1" applyAlignment="1"/>
    <xf numFmtId="0" fontId="1" fillId="7" borderId="19" xfId="1" applyFill="1" applyBorder="1" applyAlignment="1">
      <alignment horizontal="center" vertical="center" wrapText="1"/>
    </xf>
    <xf numFmtId="0" fontId="1" fillId="0" borderId="30" xfId="1" applyBorder="1" applyAlignment="1"/>
    <xf numFmtId="0" fontId="1" fillId="0" borderId="56" xfId="1" applyBorder="1" applyAlignment="1"/>
    <xf numFmtId="0" fontId="1" fillId="7" borderId="3" xfId="1" applyFill="1" applyBorder="1" applyAlignment="1">
      <alignment horizontal="center"/>
    </xf>
    <xf numFmtId="0" fontId="1" fillId="5" borderId="30" xfId="1" applyFill="1" applyBorder="1" applyAlignment="1">
      <alignment horizontal="center" vertical="center" wrapText="1"/>
    </xf>
    <xf numFmtId="0" fontId="1" fillId="5" borderId="30" xfId="1" applyFill="1" applyBorder="1" applyAlignment="1">
      <alignment vertical="center"/>
    </xf>
    <xf numFmtId="0" fontId="1" fillId="5" borderId="27" xfId="1" applyFill="1" applyBorder="1" applyAlignment="1">
      <alignment vertical="center"/>
    </xf>
    <xf numFmtId="0" fontId="1" fillId="0" borderId="51" xfId="1" applyFill="1" applyBorder="1" applyAlignment="1">
      <alignment horizontal="center" vertical="center" wrapText="1"/>
    </xf>
    <xf numFmtId="0" fontId="1" fillId="0" borderId="58" xfId="1" applyFill="1" applyBorder="1" applyAlignment="1">
      <alignment horizontal="center" vertical="center" wrapText="1"/>
    </xf>
    <xf numFmtId="0" fontId="1" fillId="0" borderId="52" xfId="1" applyFill="1" applyBorder="1" applyAlignment="1">
      <alignment horizontal="center" vertical="center" wrapText="1"/>
    </xf>
    <xf numFmtId="0" fontId="1" fillId="0" borderId="59" xfId="1" applyFill="1" applyBorder="1" applyAlignment="1">
      <alignment horizontal="center" vertical="center" wrapText="1"/>
    </xf>
    <xf numFmtId="0" fontId="1" fillId="0" borderId="58" xfId="1" applyBorder="1" applyAlignment="1">
      <alignment horizontal="center" vertical="center" wrapText="1"/>
    </xf>
    <xf numFmtId="0" fontId="1" fillId="7" borderId="20" xfId="1" applyFill="1" applyBorder="1" applyAlignment="1">
      <alignment horizontal="center" vertical="center" wrapText="1"/>
    </xf>
    <xf numFmtId="0" fontId="1" fillId="0" borderId="35" xfId="1" applyBorder="1" applyAlignment="1"/>
    <xf numFmtId="0" fontId="1" fillId="0" borderId="61" xfId="1" applyBorder="1" applyAlignment="1"/>
    <xf numFmtId="0" fontId="1" fillId="7" borderId="26" xfId="1" applyFill="1" applyBorder="1" applyAlignment="1">
      <alignment horizontal="center" vertical="center" wrapText="1"/>
    </xf>
    <xf numFmtId="0" fontId="1" fillId="0" borderId="49" xfId="1" applyBorder="1" applyAlignment="1"/>
    <xf numFmtId="0" fontId="1" fillId="0" borderId="60" xfId="1" applyBorder="1" applyAlignment="1"/>
    <xf numFmtId="0" fontId="1" fillId="7" borderId="6" xfId="1" applyFill="1" applyBorder="1" applyAlignment="1">
      <alignment horizontal="center"/>
    </xf>
    <xf numFmtId="0" fontId="1" fillId="7" borderId="7" xfId="1" applyFill="1" applyBorder="1" applyAlignment="1">
      <alignment horizontal="center"/>
    </xf>
    <xf numFmtId="0" fontId="9" fillId="7" borderId="2" xfId="1" applyFont="1" applyFill="1" applyBorder="1" applyAlignment="1">
      <alignment horizontal="center" vertical="center"/>
    </xf>
    <xf numFmtId="0" fontId="9" fillId="7" borderId="3" xfId="1" applyFont="1" applyFill="1" applyBorder="1" applyAlignment="1">
      <alignment horizontal="center" vertical="center"/>
    </xf>
    <xf numFmtId="0" fontId="9" fillId="0" borderId="3" xfId="1" applyFont="1" applyBorder="1" applyAlignment="1">
      <alignment vertical="center"/>
    </xf>
    <xf numFmtId="0" fontId="10" fillId="0" borderId="3" xfId="0" applyFont="1" applyBorder="1" applyAlignment="1">
      <alignment vertical="center"/>
    </xf>
    <xf numFmtId="0" fontId="10" fillId="0" borderId="4" xfId="0" applyFont="1" applyBorder="1" applyAlignment="1">
      <alignment vertical="center"/>
    </xf>
    <xf numFmtId="0" fontId="1" fillId="7" borderId="2" xfId="1" applyFill="1" applyBorder="1" applyAlignment="1">
      <alignment horizontal="center"/>
    </xf>
    <xf numFmtId="0" fontId="1" fillId="0" borderId="3" xfId="1" applyBorder="1" applyAlignment="1"/>
    <xf numFmtId="0" fontId="0" fillId="0" borderId="4" xfId="0" applyBorder="1" applyAlignment="1"/>
    <xf numFmtId="0" fontId="0" fillId="0" borderId="4" xfId="0" applyBorder="1" applyAlignment="1">
      <alignment horizontal="center"/>
    </xf>
    <xf numFmtId="0" fontId="1" fillId="0" borderId="42" xfId="1" applyBorder="1" applyAlignment="1"/>
    <xf numFmtId="0" fontId="1" fillId="0" borderId="43" xfId="1" applyBorder="1" applyAlignment="1"/>
    <xf numFmtId="0" fontId="1" fillId="7" borderId="40" xfId="1" applyFill="1" applyBorder="1" applyAlignment="1">
      <alignment horizontal="center" vertical="center" wrapText="1"/>
    </xf>
    <xf numFmtId="0" fontId="1" fillId="0" borderId="44" xfId="1" applyBorder="1" applyAlignment="1"/>
    <xf numFmtId="0" fontId="1" fillId="0" borderId="62" xfId="1" applyBorder="1" applyAlignment="1"/>
    <xf numFmtId="0" fontId="1" fillId="7" borderId="39" xfId="1" applyFill="1" applyBorder="1" applyAlignment="1">
      <alignment horizontal="center" vertical="center" wrapText="1"/>
    </xf>
    <xf numFmtId="0" fontId="1" fillId="0" borderId="29" xfId="1" applyBorder="1" applyAlignment="1"/>
    <xf numFmtId="0" fontId="1" fillId="0" borderId="33" xfId="1" applyBorder="1" applyAlignment="1"/>
    <xf numFmtId="164" fontId="6" fillId="9" borderId="11" xfId="1" applyNumberFormat="1" applyFont="1" applyFill="1" applyBorder="1" applyAlignment="1">
      <alignment horizontal="center" vertical="center" wrapText="1"/>
    </xf>
    <xf numFmtId="164" fontId="1" fillId="9" borderId="12" xfId="1" applyNumberFormat="1" applyFill="1" applyBorder="1" applyAlignment="1">
      <alignment horizontal="center" vertical="center" wrapText="1"/>
    </xf>
    <xf numFmtId="164" fontId="6" fillId="9" borderId="12" xfId="1" applyNumberFormat="1" applyFont="1" applyFill="1" applyBorder="1" applyAlignment="1">
      <alignment horizontal="center" vertical="center" wrapText="1"/>
    </xf>
    <xf numFmtId="0" fontId="1" fillId="0" borderId="20" xfId="1" applyBorder="1" applyAlignment="1">
      <alignment horizontal="center" vertical="center" wrapText="1"/>
    </xf>
    <xf numFmtId="0" fontId="1" fillId="0" borderId="35" xfId="1" applyBorder="1" applyAlignment="1">
      <alignment horizontal="center" vertical="center" wrapText="1"/>
    </xf>
    <xf numFmtId="0" fontId="1" fillId="0" borderId="43" xfId="1" applyBorder="1" applyAlignment="1">
      <alignment horizontal="center" vertical="center" wrapText="1"/>
    </xf>
    <xf numFmtId="0" fontId="1" fillId="5" borderId="27" xfId="1" applyFont="1" applyFill="1" applyBorder="1" applyAlignment="1">
      <alignment horizontal="center" vertical="center" wrapText="1"/>
    </xf>
    <xf numFmtId="0" fontId="1" fillId="5" borderId="28" xfId="1" applyFont="1" applyFill="1" applyBorder="1" applyAlignment="1">
      <alignment horizontal="center" vertical="center" wrapText="1"/>
    </xf>
    <xf numFmtId="0" fontId="1" fillId="5" borderId="29" xfId="1" applyFont="1" applyFill="1" applyBorder="1" applyAlignment="1">
      <alignment horizontal="center" vertical="center" wrapText="1"/>
    </xf>
    <xf numFmtId="0" fontId="1" fillId="0" borderId="31" xfId="1" applyBorder="1" applyAlignment="1">
      <alignment horizontal="center" vertical="center"/>
    </xf>
    <xf numFmtId="0" fontId="1" fillId="0" borderId="32" xfId="1" applyBorder="1" applyAlignment="1">
      <alignment horizontal="center" vertical="center"/>
    </xf>
    <xf numFmtId="0" fontId="1" fillId="0" borderId="33" xfId="1" applyBorder="1" applyAlignment="1">
      <alignment horizontal="center" vertical="center"/>
    </xf>
    <xf numFmtId="164" fontId="1" fillId="9" borderId="55" xfId="1" applyNumberFormat="1" applyFill="1" applyBorder="1" applyAlignment="1">
      <alignment horizontal="center" vertical="center" wrapText="1"/>
    </xf>
    <xf numFmtId="0" fontId="1" fillId="0" borderId="6" xfId="1" applyFill="1" applyBorder="1" applyAlignment="1">
      <alignment horizontal="right" vertical="center" wrapText="1"/>
    </xf>
    <xf numFmtId="0" fontId="1" fillId="0" borderId="5" xfId="1" applyBorder="1" applyAlignment="1">
      <alignment horizontal="right" vertical="center" wrapText="1"/>
    </xf>
    <xf numFmtId="0" fontId="1" fillId="0" borderId="57" xfId="1" applyBorder="1" applyAlignment="1">
      <alignment horizontal="right" vertical="center" wrapText="1"/>
    </xf>
    <xf numFmtId="0" fontId="1" fillId="0" borderId="8" xfId="1" applyFill="1" applyBorder="1" applyAlignment="1">
      <alignment horizontal="center" vertical="center" wrapText="1"/>
    </xf>
    <xf numFmtId="0" fontId="1" fillId="0" borderId="50" xfId="1" applyBorder="1" applyAlignment="1">
      <alignment horizontal="center" vertical="center" wrapText="1"/>
    </xf>
    <xf numFmtId="0" fontId="1" fillId="0" borderId="16" xfId="1" applyBorder="1" applyAlignment="1">
      <alignment horizontal="center" vertical="center" wrapText="1"/>
    </xf>
    <xf numFmtId="0" fontId="1" fillId="0" borderId="2" xfId="1" applyFill="1" applyBorder="1" applyAlignment="1">
      <alignment horizontal="center" vertical="center" wrapText="1"/>
    </xf>
    <xf numFmtId="0" fontId="1" fillId="0" borderId="4" xfId="1" applyFill="1" applyBorder="1" applyAlignment="1">
      <alignment horizontal="center" vertical="center" wrapText="1"/>
    </xf>
    <xf numFmtId="0" fontId="1" fillId="0" borderId="4" xfId="1" applyBorder="1" applyAlignment="1">
      <alignment horizontal="center" vertical="center" wrapText="1"/>
    </xf>
    <xf numFmtId="0" fontId="1" fillId="17" borderId="6" xfId="1" applyFill="1" applyBorder="1" applyAlignment="1" applyProtection="1">
      <alignment vertical="top" wrapText="1"/>
      <protection locked="0"/>
    </xf>
    <xf numFmtId="0" fontId="1" fillId="17" borderId="7" xfId="1" applyFill="1" applyBorder="1" applyAlignment="1" applyProtection="1">
      <alignment vertical="top" wrapText="1"/>
      <protection locked="0"/>
    </xf>
    <xf numFmtId="0" fontId="1" fillId="17" borderId="8" xfId="1" applyFill="1" applyBorder="1" applyAlignment="1" applyProtection="1">
      <alignment vertical="top" wrapText="1"/>
      <protection locked="0"/>
    </xf>
    <xf numFmtId="0" fontId="1" fillId="17" borderId="5" xfId="1" applyFill="1" applyBorder="1" applyAlignment="1" applyProtection="1">
      <alignment vertical="top" wrapText="1"/>
      <protection locked="0"/>
    </xf>
    <xf numFmtId="0" fontId="1" fillId="17" borderId="0" xfId="1" applyFill="1" applyBorder="1" applyAlignment="1" applyProtection="1">
      <alignment vertical="top" wrapText="1"/>
      <protection locked="0"/>
    </xf>
    <xf numFmtId="0" fontId="1" fillId="17" borderId="50" xfId="1" applyFill="1" applyBorder="1" applyAlignment="1" applyProtection="1">
      <alignment vertical="top" wrapText="1"/>
      <protection locked="0"/>
    </xf>
    <xf numFmtId="0" fontId="1" fillId="0" borderId="5" xfId="1" applyBorder="1" applyAlignment="1">
      <alignment vertical="top" wrapText="1"/>
    </xf>
    <xf numFmtId="0" fontId="1" fillId="0" borderId="57" xfId="1" applyBorder="1" applyAlignment="1">
      <alignment vertical="top" wrapText="1"/>
    </xf>
    <xf numFmtId="0" fontId="1" fillId="0" borderId="1" xfId="1" applyBorder="1" applyAlignment="1">
      <alignment vertical="top" wrapText="1"/>
    </xf>
    <xf numFmtId="0" fontId="1" fillId="0" borderId="16" xfId="1" applyBorder="1" applyAlignment="1">
      <alignment vertical="top" wrapText="1"/>
    </xf>
    <xf numFmtId="0" fontId="8" fillId="2" borderId="2" xfId="1" applyFont="1" applyFill="1" applyBorder="1" applyAlignment="1">
      <alignment vertical="center"/>
    </xf>
    <xf numFmtId="0" fontId="8" fillId="2" borderId="3" xfId="1" applyFont="1" applyFill="1" applyBorder="1" applyAlignment="1">
      <alignment vertical="center"/>
    </xf>
    <xf numFmtId="0" fontId="1" fillId="0" borderId="3" xfId="1" applyBorder="1" applyAlignment="1">
      <alignment vertical="center"/>
    </xf>
    <xf numFmtId="0" fontId="1" fillId="0" borderId="4" xfId="1" applyBorder="1" applyAlignment="1">
      <alignment vertical="center"/>
    </xf>
    <xf numFmtId="0" fontId="8" fillId="2" borderId="2" xfId="1" applyFont="1" applyFill="1" applyBorder="1" applyAlignment="1">
      <alignment horizontal="right" vertical="center" readingOrder="1"/>
    </xf>
    <xf numFmtId="0" fontId="0" fillId="0" borderId="3" xfId="0" applyBorder="1" applyAlignment="1">
      <alignment horizontal="right" vertical="center"/>
    </xf>
    <xf numFmtId="0" fontId="0" fillId="0" borderId="4" xfId="0" applyBorder="1" applyAlignment="1">
      <alignment horizontal="right" vertical="center"/>
    </xf>
    <xf numFmtId="0" fontId="0" fillId="0" borderId="3" xfId="0" applyBorder="1" applyAlignment="1">
      <alignment horizontal="right" vertical="center" readingOrder="1"/>
    </xf>
    <xf numFmtId="0" fontId="0" fillId="0" borderId="4" xfId="0" applyBorder="1" applyAlignment="1">
      <alignment horizontal="right" vertical="center" readingOrder="1"/>
    </xf>
    <xf numFmtId="0" fontId="8" fillId="2" borderId="2" xfId="1" applyFont="1" applyFill="1" applyBorder="1" applyAlignment="1">
      <alignment horizontal="center" vertical="center"/>
    </xf>
    <xf numFmtId="0" fontId="8" fillId="2" borderId="3" xfId="1" applyFont="1" applyFill="1" applyBorder="1" applyAlignment="1">
      <alignment horizontal="center" vertical="center"/>
    </xf>
    <xf numFmtId="0" fontId="8" fillId="2" borderId="4" xfId="1" applyFont="1" applyFill="1" applyBorder="1" applyAlignment="1">
      <alignment horizontal="center" vertical="center"/>
    </xf>
    <xf numFmtId="0" fontId="8" fillId="5" borderId="6" xfId="1" applyFont="1" applyFill="1" applyBorder="1" applyAlignment="1">
      <alignment horizontal="center" vertical="center"/>
    </xf>
    <xf numFmtId="0" fontId="8" fillId="5" borderId="7" xfId="1" applyFont="1" applyFill="1" applyBorder="1" applyAlignment="1">
      <alignment horizontal="center" vertical="center"/>
    </xf>
    <xf numFmtId="0" fontId="8" fillId="5" borderId="8" xfId="1" applyFont="1" applyFill="1" applyBorder="1" applyAlignment="1">
      <alignment horizontal="center" vertical="center"/>
    </xf>
    <xf numFmtId="0" fontId="8" fillId="5" borderId="57" xfId="1" applyFont="1" applyFill="1" applyBorder="1" applyAlignment="1">
      <alignment horizontal="center" vertical="center"/>
    </xf>
    <xf numFmtId="0" fontId="8" fillId="5" borderId="1" xfId="1" applyFont="1" applyFill="1" applyBorder="1" applyAlignment="1">
      <alignment horizontal="center" vertical="center"/>
    </xf>
    <xf numFmtId="0" fontId="8" fillId="5" borderId="16" xfId="1" applyFont="1" applyFill="1" applyBorder="1" applyAlignment="1">
      <alignment horizontal="center" vertical="center"/>
    </xf>
    <xf numFmtId="0" fontId="26" fillId="19" borderId="2" xfId="2" applyFont="1" applyFill="1" applyBorder="1" applyAlignment="1" applyProtection="1">
      <alignment horizontal="center"/>
    </xf>
    <xf numFmtId="0" fontId="26" fillId="19" borderId="3" xfId="2" applyFont="1" applyFill="1" applyBorder="1" applyAlignment="1" applyProtection="1">
      <alignment horizontal="center"/>
    </xf>
    <xf numFmtId="0" fontId="26" fillId="19" borderId="4" xfId="2" applyFont="1" applyFill="1" applyBorder="1" applyAlignment="1" applyProtection="1">
      <alignment horizontal="center"/>
    </xf>
    <xf numFmtId="0" fontId="25" fillId="18" borderId="2" xfId="1" applyFont="1" applyFill="1" applyBorder="1" applyAlignment="1">
      <alignment horizontal="center" vertical="center"/>
    </xf>
    <xf numFmtId="0" fontId="1" fillId="0" borderId="3" xfId="1" applyBorder="1" applyAlignment="1">
      <alignment horizontal="center" vertical="center"/>
    </xf>
    <xf numFmtId="0" fontId="28" fillId="20" borderId="57" xfId="1" applyFont="1" applyFill="1" applyBorder="1" applyAlignment="1">
      <alignment horizontal="right"/>
    </xf>
    <xf numFmtId="0" fontId="28" fillId="20" borderId="16" xfId="1" applyFont="1" applyFill="1" applyBorder="1" applyAlignment="1">
      <alignment horizontal="right"/>
    </xf>
    <xf numFmtId="0" fontId="29" fillId="21" borderId="2" xfId="2" applyFont="1" applyFill="1" applyBorder="1" applyAlignment="1" applyProtection="1"/>
    <xf numFmtId="0" fontId="1" fillId="21" borderId="3" xfId="1" applyFill="1" applyBorder="1"/>
    <xf numFmtId="0" fontId="1" fillId="21" borderId="4" xfId="1" applyFill="1" applyBorder="1"/>
    <xf numFmtId="0" fontId="14" fillId="18" borderId="2" xfId="1" applyFont="1" applyFill="1" applyBorder="1" applyAlignment="1">
      <alignment horizontal="center"/>
    </xf>
    <xf numFmtId="0" fontId="14" fillId="18" borderId="4" xfId="1" applyFont="1" applyFill="1" applyBorder="1" applyAlignment="1">
      <alignment horizontal="center"/>
    </xf>
    <xf numFmtId="0" fontId="14" fillId="18" borderId="3" xfId="1" applyFont="1" applyFill="1" applyBorder="1" applyAlignment="1">
      <alignment horizontal="center"/>
    </xf>
    <xf numFmtId="0" fontId="14" fillId="18" borderId="81" xfId="1" applyFont="1" applyFill="1" applyBorder="1" applyAlignment="1">
      <alignment horizontal="center"/>
    </xf>
    <xf numFmtId="3" fontId="6" fillId="20" borderId="34" xfId="1" applyNumberFormat="1" applyFont="1" applyFill="1" applyBorder="1" applyAlignment="1">
      <alignment horizontal="center"/>
    </xf>
    <xf numFmtId="0" fontId="6" fillId="20" borderId="30" xfId="1" applyFont="1" applyFill="1" applyBorder="1" applyAlignment="1">
      <alignment horizontal="center"/>
    </xf>
    <xf numFmtId="0" fontId="8" fillId="20" borderId="30" xfId="1" applyFont="1" applyFill="1" applyBorder="1" applyAlignment="1">
      <alignment horizontal="center"/>
    </xf>
    <xf numFmtId="3" fontId="6" fillId="6" borderId="30" xfId="1" applyNumberFormat="1" applyFont="1" applyFill="1" applyBorder="1" applyAlignment="1">
      <alignment horizontal="center"/>
    </xf>
    <xf numFmtId="0" fontId="6" fillId="6" borderId="35" xfId="1" applyFont="1" applyFill="1" applyBorder="1" applyAlignment="1">
      <alignment horizontal="center"/>
    </xf>
    <xf numFmtId="0" fontId="30" fillId="18" borderId="2" xfId="1" applyFont="1" applyFill="1" applyBorder="1" applyAlignment="1">
      <alignment horizontal="center"/>
    </xf>
    <xf numFmtId="0" fontId="30" fillId="18" borderId="3" xfId="1" applyFont="1" applyFill="1" applyBorder="1" applyAlignment="1">
      <alignment horizontal="center"/>
    </xf>
    <xf numFmtId="0" fontId="31" fillId="18" borderId="3" xfId="1" applyFont="1" applyFill="1" applyBorder="1" applyAlignment="1">
      <alignment horizontal="center"/>
    </xf>
    <xf numFmtId="0" fontId="31" fillId="18" borderId="4" xfId="1" applyFont="1" applyFill="1" applyBorder="1" applyAlignment="1">
      <alignment horizontal="center"/>
    </xf>
    <xf numFmtId="0" fontId="6" fillId="20" borderId="17" xfId="1" applyFont="1" applyFill="1" applyBorder="1" applyAlignment="1">
      <alignment horizontal="center"/>
    </xf>
    <xf numFmtId="0" fontId="6" fillId="20" borderId="19" xfId="1" applyFont="1" applyFill="1" applyBorder="1" applyAlignment="1">
      <alignment horizontal="center"/>
    </xf>
    <xf numFmtId="0" fontId="8" fillId="20" borderId="19" xfId="1" applyFont="1" applyFill="1" applyBorder="1" applyAlignment="1">
      <alignment horizontal="center"/>
    </xf>
    <xf numFmtId="3" fontId="6" fillId="6" borderId="19" xfId="1" applyNumberFormat="1" applyFont="1" applyFill="1" applyBorder="1" applyAlignment="1">
      <alignment horizontal="center"/>
    </xf>
    <xf numFmtId="0" fontId="6" fillId="6" borderId="20" xfId="1" applyFont="1" applyFill="1" applyBorder="1" applyAlignment="1">
      <alignment horizontal="center"/>
    </xf>
    <xf numFmtId="0" fontId="6" fillId="20" borderId="34" xfId="1" applyFont="1" applyFill="1" applyBorder="1" applyAlignment="1">
      <alignment horizontal="center"/>
    </xf>
    <xf numFmtId="0" fontId="14" fillId="0" borderId="0" xfId="1" applyFont="1"/>
    <xf numFmtId="0" fontId="1" fillId="0" borderId="0" xfId="1"/>
    <xf numFmtId="3" fontId="6" fillId="20" borderId="53" xfId="1" applyNumberFormat="1" applyFont="1" applyFill="1" applyBorder="1" applyAlignment="1">
      <alignment horizontal="center"/>
    </xf>
    <xf numFmtId="0" fontId="6" fillId="20" borderId="56" xfId="1" applyFont="1" applyFill="1" applyBorder="1" applyAlignment="1">
      <alignment horizontal="center"/>
    </xf>
    <xf numFmtId="0" fontId="8" fillId="20" borderId="56" xfId="1" applyFont="1" applyFill="1" applyBorder="1" applyAlignment="1">
      <alignment horizontal="center"/>
    </xf>
    <xf numFmtId="3" fontId="6" fillId="6" borderId="56" xfId="1" applyNumberFormat="1" applyFont="1" applyFill="1" applyBorder="1" applyAlignment="1">
      <alignment horizontal="center"/>
    </xf>
    <xf numFmtId="0" fontId="6" fillId="6" borderId="61" xfId="1" applyFont="1" applyFill="1" applyBorder="1" applyAlignment="1">
      <alignment horizontal="center"/>
    </xf>
  </cellXfs>
  <cellStyles count="3">
    <cellStyle name="Hyperlink" xfId="2" builtinId="8"/>
    <cellStyle name="Normal" xfId="0" builtinId="0"/>
    <cellStyle name="Normal 2" xfId="1"/>
  </cellStyles>
  <dxfs count="270">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indexed="11"/>
        </patternFill>
      </fill>
    </dxf>
    <dxf>
      <numFmt numFmtId="164" formatCode="0.0%"/>
    </dxf>
    <dxf>
      <numFmt numFmtId="3" formatCode="#,##0"/>
    </dxf>
    <dxf>
      <numFmt numFmtId="164" formatCode="0.0%"/>
    </dxf>
    <dxf>
      <numFmt numFmtId="3" formatCode="#,##0"/>
    </dxf>
    <dxf>
      <numFmt numFmtId="164" formatCode="0.0%"/>
    </dxf>
    <dxf>
      <numFmt numFmtId="3" formatCode="#,##0"/>
    </dxf>
    <dxf>
      <numFmt numFmtId="164" formatCode="0.0%"/>
    </dxf>
    <dxf>
      <numFmt numFmtId="3" formatCode="#,##0"/>
    </dxf>
    <dxf>
      <font>
        <b/>
        <i val="0"/>
        <condense val="0"/>
        <extend val="0"/>
        <color indexed="10"/>
      </font>
    </dxf>
    <dxf>
      <font>
        <b/>
        <i val="0"/>
        <condense val="0"/>
        <extend val="0"/>
        <color indexed="10"/>
      </font>
    </dxf>
    <dxf>
      <font>
        <condense val="0"/>
        <extend val="0"/>
        <color indexed="10"/>
      </font>
    </dxf>
    <dxf>
      <font>
        <condense val="0"/>
        <extend val="0"/>
        <color indexed="10"/>
      </font>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ont>
        <condense val="0"/>
        <extend val="0"/>
        <color indexed="59"/>
      </font>
      <fill>
        <patternFill>
          <bgColor indexed="10"/>
        </patternFill>
      </fill>
    </dxf>
    <dxf>
      <font>
        <condense val="0"/>
        <extend val="0"/>
        <color indexed="59"/>
      </font>
      <fill>
        <patternFill>
          <bgColor indexed="10"/>
        </patternFill>
      </fill>
    </dxf>
    <dxf>
      <fill>
        <patternFill>
          <bgColor indexed="52"/>
        </patternFill>
      </fill>
    </dxf>
    <dxf>
      <fill>
        <patternFill>
          <bgColor indexed="52"/>
        </patternFill>
      </fill>
    </dxf>
    <dxf>
      <fill>
        <patternFill>
          <bgColor indexed="52"/>
        </patternFill>
      </fill>
    </dxf>
    <dxf>
      <fill>
        <patternFill>
          <bgColor indexed="50"/>
        </patternFill>
      </fill>
    </dxf>
    <dxf>
      <fill>
        <patternFill>
          <bgColor indexed="11"/>
        </patternFill>
      </fill>
    </dxf>
    <dxf>
      <fill>
        <patternFill>
          <bgColor rgb="FF90F488"/>
        </patternFill>
      </fill>
    </dxf>
    <dxf>
      <fill>
        <patternFill>
          <bgColor indexed="11"/>
        </patternFill>
      </fill>
    </dxf>
    <dxf>
      <fill>
        <patternFill>
          <bgColor indexed="52"/>
        </patternFill>
      </fill>
    </dxf>
    <dxf>
      <font>
        <condense val="0"/>
        <extend val="0"/>
        <color indexed="59"/>
      </font>
      <fill>
        <patternFill>
          <bgColor indexed="10"/>
        </patternFill>
      </fill>
    </dxf>
    <dxf>
      <fill>
        <patternFill>
          <bgColor indexed="59"/>
        </patternFill>
      </fill>
      <border>
        <left style="thin">
          <color indexed="64"/>
        </left>
        <right style="thin">
          <color indexed="64"/>
        </right>
        <top style="thin">
          <color indexed="64"/>
        </top>
        <bottom style="thin">
          <color indexed="64"/>
        </bottom>
      </border>
    </dxf>
    <dxf>
      <numFmt numFmtId="164" formatCode="0.0%"/>
    </dxf>
    <dxf>
      <numFmt numFmtId="3" formatCode="#,##0"/>
    </dxf>
    <dxf>
      <fill>
        <patternFill>
          <bgColor indexed="13"/>
        </patternFill>
      </fill>
    </dxf>
    <dxf>
      <font>
        <b val="0"/>
        <i val="0"/>
        <color theme="0" tint="-0.34998626667073579"/>
      </font>
    </dxf>
    <dxf>
      <font>
        <condense val="0"/>
        <extend val="0"/>
        <color indexed="18"/>
      </font>
      <fill>
        <patternFill>
          <bgColor indexed="59"/>
        </patternFill>
      </fill>
      <border>
        <left style="thin">
          <color indexed="64"/>
        </left>
        <right style="thin">
          <color indexed="64"/>
        </right>
        <top style="thin">
          <color indexed="64"/>
        </top>
        <bottom style="thin">
          <color indexed="64"/>
        </bottom>
      </border>
    </dxf>
    <dxf>
      <font>
        <condense val="0"/>
        <extend val="0"/>
        <color indexed="59"/>
      </font>
      <fill>
        <patternFill>
          <bgColor indexed="10"/>
        </patternFill>
      </fill>
    </dxf>
    <dxf>
      <font>
        <condense val="0"/>
        <extend val="0"/>
        <color indexed="18"/>
      </font>
      <fill>
        <patternFill>
          <bgColor indexed="59"/>
        </patternFill>
      </fill>
      <border>
        <left style="thin">
          <color indexed="64"/>
        </left>
        <right style="thin">
          <color indexed="64"/>
        </right>
        <top style="thin">
          <color indexed="64"/>
        </top>
        <bottom style="thin">
          <color indexed="64"/>
        </bottom>
      </border>
    </dxf>
    <dxf>
      <font>
        <condense val="0"/>
        <extend val="0"/>
        <color indexed="18"/>
      </font>
      <fill>
        <patternFill>
          <bgColor indexed="59"/>
        </patternFill>
      </fill>
      <border>
        <left style="thin">
          <color indexed="64"/>
        </left>
        <right style="thin">
          <color indexed="64"/>
        </right>
        <top style="thin">
          <color indexed="64"/>
        </top>
        <bottom style="thin">
          <color indexed="64"/>
        </bottom>
      </border>
    </dxf>
    <dxf>
      <font>
        <condense val="0"/>
        <extend val="0"/>
        <color indexed="18"/>
      </font>
      <fill>
        <patternFill>
          <bgColor indexed="59"/>
        </patternFill>
      </fill>
      <border>
        <left style="thin">
          <color indexed="64"/>
        </left>
        <right style="thin">
          <color indexed="64"/>
        </right>
        <top style="thin">
          <color indexed="64"/>
        </top>
        <bottom style="thin">
          <color indexed="64"/>
        </bottom>
      </border>
    </dxf>
    <dxf>
      <font>
        <condense val="0"/>
        <extend val="0"/>
        <color indexed="59"/>
      </font>
      <fill>
        <patternFill>
          <bgColor indexed="10"/>
        </patternFill>
      </fill>
    </dxf>
    <dxf>
      <font>
        <condense val="0"/>
        <extend val="0"/>
        <color indexed="59"/>
      </font>
      <fill>
        <patternFill>
          <bgColor indexed="10"/>
        </patternFill>
      </fill>
    </dxf>
    <dxf>
      <font>
        <condense val="0"/>
        <extend val="0"/>
        <color indexed="59"/>
      </font>
      <fill>
        <patternFill>
          <bgColor indexed="10"/>
        </patternFill>
      </fill>
    </dxf>
    <dxf>
      <font>
        <condense val="0"/>
        <extend val="0"/>
        <color indexed="59"/>
      </font>
      <fill>
        <patternFill>
          <bgColor indexed="10"/>
        </patternFill>
      </fill>
    </dxf>
    <dxf>
      <font>
        <b/>
        <i val="0"/>
        <condense val="0"/>
        <extend val="0"/>
        <color indexed="59"/>
      </font>
      <fill>
        <patternFill>
          <bgColor indexed="10"/>
        </patternFill>
      </fill>
    </dxf>
    <dxf>
      <font>
        <condense val="0"/>
        <extend val="0"/>
        <color indexed="18"/>
      </font>
      <fill>
        <patternFill>
          <bgColor indexed="59"/>
        </patternFill>
      </fill>
      <border>
        <left style="thin">
          <color indexed="64"/>
        </left>
        <right style="thin">
          <color indexed="64"/>
        </right>
        <top style="thin">
          <color indexed="64"/>
        </top>
        <bottom style="thin">
          <color indexed="64"/>
        </bottom>
      </border>
    </dxf>
    <dxf>
      <font>
        <condense val="0"/>
        <extend val="0"/>
        <color indexed="59"/>
      </font>
      <fill>
        <patternFill>
          <bgColor indexed="10"/>
        </patternFill>
      </fill>
    </dxf>
    <dxf>
      <font>
        <condense val="0"/>
        <extend val="0"/>
        <color indexed="18"/>
      </font>
      <fill>
        <patternFill>
          <bgColor indexed="59"/>
        </patternFill>
      </fill>
      <border>
        <left style="thin">
          <color indexed="64"/>
        </left>
        <right style="thin">
          <color indexed="64"/>
        </right>
        <top style="thin">
          <color indexed="64"/>
        </top>
        <bottom style="thin">
          <color indexed="64"/>
        </bottom>
      </border>
    </dxf>
    <dxf>
      <font>
        <condense val="0"/>
        <extend val="0"/>
        <color indexed="18"/>
      </font>
      <fill>
        <patternFill>
          <bgColor indexed="59"/>
        </patternFill>
      </fill>
      <border>
        <left style="thin">
          <color indexed="64"/>
        </left>
        <right style="thin">
          <color indexed="64"/>
        </right>
        <top style="thin">
          <color indexed="64"/>
        </top>
        <bottom style="thin">
          <color indexed="64"/>
        </bottom>
      </border>
    </dxf>
    <dxf>
      <font>
        <condense val="0"/>
        <extend val="0"/>
        <color indexed="59"/>
      </font>
      <fill>
        <patternFill>
          <bgColor indexed="1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openxmlformats.org/officeDocument/2006/relationships/chartUserShapes" Target="../drawings/drawing2.xml"/><Relationship Id="rId1" Type="http://schemas.openxmlformats.org/officeDocument/2006/relationships/image" Target="../media/image1.jpeg"/></Relationships>
</file>

<file path=xl/charts/_rels/chart2.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image" Target="../media/image1.jpeg"/></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sz="950" b="1" i="0" u="none" strike="noStrike" baseline="0">
                <a:solidFill>
                  <a:srgbClr val="000000"/>
                </a:solidFill>
                <a:latin typeface="Arial"/>
                <a:ea typeface="Arial"/>
                <a:cs typeface="Arial"/>
              </a:defRPr>
            </a:pPr>
            <a:r>
              <a:rPr lang="en-US"/>
              <a:t>Verse</a:t>
            </a:r>
            <a:r>
              <a:rPr lang="en-US" baseline="0"/>
              <a:t> Equivalents</a:t>
            </a:r>
            <a:r>
              <a:rPr lang="en-US"/>
              <a:t> (VE) scheduled per Year  
for each of the six Stages</a:t>
            </a:r>
          </a:p>
        </c:rich>
      </c:tx>
      <c:layout>
        <c:manualLayout>
          <c:xMode val="edge"/>
          <c:yMode val="edge"/>
          <c:x val="0.18909206650534757"/>
          <c:y val="2.8123578135230427E-2"/>
        </c:manualLayout>
      </c:layout>
      <c:overlay val="0"/>
      <c:spPr>
        <a:solidFill>
          <a:srgbClr val="8BD992"/>
        </a:solidFill>
        <a:ln w="25400">
          <a:solidFill>
            <a:srgbClr val="FF6400"/>
          </a:solidFill>
          <a:prstDash val="solid"/>
        </a:ln>
      </c:spPr>
    </c:title>
    <c:autoTitleDeleted val="0"/>
    <c:plotArea>
      <c:layout>
        <c:manualLayout>
          <c:layoutTarget val="inner"/>
          <c:xMode val="edge"/>
          <c:yMode val="edge"/>
          <c:x val="0.22549629401106719"/>
          <c:y val="0.19117692817700715"/>
          <c:w val="0.45109234323089831"/>
          <c:h val="0.64111501963493112"/>
        </c:manualLayout>
      </c:layout>
      <c:barChart>
        <c:barDir val="col"/>
        <c:grouping val="clustered"/>
        <c:varyColors val="0"/>
        <c:ser>
          <c:idx val="0"/>
          <c:order val="0"/>
          <c:tx>
            <c:strRef>
              <c:f>[1]Planning!$R$18</c:f>
              <c:strCache>
                <c:ptCount val="1"/>
                <c:pt idx="0">
                  <c:v>Exegesis &amp; First Draft</c:v>
                </c:pt>
              </c:strCache>
            </c:strRef>
          </c:tx>
          <c:spPr>
            <a:solidFill>
              <a:srgbClr val="FF0000"/>
            </a:solidFill>
            <a:ln w="12700">
              <a:solidFill>
                <a:srgbClr val="000000"/>
              </a:solidFill>
              <a:prstDash val="solid"/>
            </a:ln>
          </c:spPr>
          <c:invertIfNegative val="0"/>
          <c:cat>
            <c:numRef>
              <c:f>[1]!GraphXValues</c:f>
              <c:numCache>
                <c:formatCode>General</c:formatCode>
                <c:ptCount val="3"/>
                <c:pt idx="0">
                  <c:v>2017</c:v>
                </c:pt>
                <c:pt idx="1">
                  <c:v>2018</c:v>
                </c:pt>
                <c:pt idx="2">
                  <c:v>2019</c:v>
                </c:pt>
              </c:numCache>
            </c:numRef>
          </c:cat>
          <c:val>
            <c:numRef>
              <c:f>[1]!GraphStage1</c:f>
              <c:numCache>
                <c:formatCode>#,##0</c:formatCode>
                <c:ptCount val="3"/>
                <c:pt idx="0">
                  <c:v>1151</c:v>
                </c:pt>
                <c:pt idx="1">
                  <c:v>1098.75</c:v>
                </c:pt>
                <c:pt idx="2">
                  <c:v>0</c:v>
                </c:pt>
              </c:numCache>
            </c:numRef>
          </c:val>
          <c:extLst xmlns:c16r2="http://schemas.microsoft.com/office/drawing/2015/06/chart">
            <c:ext xmlns:c16="http://schemas.microsoft.com/office/drawing/2014/chart" uri="{C3380CC4-5D6E-409C-BE32-E72D297353CC}">
              <c16:uniqueId val="{00000000-ACD3-48A3-AB7E-55D0C097101E}"/>
            </c:ext>
          </c:extLst>
        </c:ser>
        <c:ser>
          <c:idx val="1"/>
          <c:order val="1"/>
          <c:tx>
            <c:strRef>
              <c:f>[1]Planning!$S$18</c:f>
              <c:strCache>
                <c:ptCount val="1"/>
                <c:pt idx="0">
                  <c:v>Team Check</c:v>
                </c:pt>
              </c:strCache>
            </c:strRef>
          </c:tx>
          <c:spPr>
            <a:solidFill>
              <a:srgbClr val="262BFE"/>
            </a:solidFill>
            <a:ln w="12700">
              <a:solidFill>
                <a:srgbClr val="000000"/>
              </a:solidFill>
              <a:prstDash val="solid"/>
            </a:ln>
          </c:spPr>
          <c:invertIfNegative val="0"/>
          <c:cat>
            <c:numRef>
              <c:f>[1]!GraphXValues</c:f>
              <c:numCache>
                <c:formatCode>General</c:formatCode>
                <c:ptCount val="3"/>
                <c:pt idx="0">
                  <c:v>2017</c:v>
                </c:pt>
                <c:pt idx="1">
                  <c:v>2018</c:v>
                </c:pt>
                <c:pt idx="2">
                  <c:v>2019</c:v>
                </c:pt>
              </c:numCache>
            </c:numRef>
          </c:cat>
          <c:val>
            <c:numRef>
              <c:f>[1]!GraphStage2</c:f>
              <c:numCache>
                <c:formatCode>#,##0</c:formatCode>
                <c:ptCount val="3"/>
                <c:pt idx="0">
                  <c:v>1151</c:v>
                </c:pt>
                <c:pt idx="1">
                  <c:v>1098.75</c:v>
                </c:pt>
                <c:pt idx="2">
                  <c:v>0</c:v>
                </c:pt>
              </c:numCache>
            </c:numRef>
          </c:val>
          <c:extLst xmlns:c16r2="http://schemas.microsoft.com/office/drawing/2015/06/chart">
            <c:ext xmlns:c16="http://schemas.microsoft.com/office/drawing/2014/chart" uri="{C3380CC4-5D6E-409C-BE32-E72D297353CC}">
              <c16:uniqueId val="{00000001-ACD3-48A3-AB7E-55D0C097101E}"/>
            </c:ext>
          </c:extLst>
        </c:ser>
        <c:ser>
          <c:idx val="2"/>
          <c:order val="2"/>
          <c:tx>
            <c:strRef>
              <c:f>[1]Planning!$T$18</c:f>
              <c:strCache>
                <c:ptCount val="1"/>
                <c:pt idx="0">
                  <c:v>Advisor check and back transaltion</c:v>
                </c:pt>
              </c:strCache>
            </c:strRef>
          </c:tx>
          <c:spPr>
            <a:solidFill>
              <a:srgbClr val="0AFE16"/>
            </a:solidFill>
            <a:ln w="12700">
              <a:solidFill>
                <a:srgbClr val="000000"/>
              </a:solidFill>
              <a:prstDash val="solid"/>
            </a:ln>
          </c:spPr>
          <c:invertIfNegative val="0"/>
          <c:cat>
            <c:numRef>
              <c:f>[1]!GraphXValues</c:f>
              <c:numCache>
                <c:formatCode>General</c:formatCode>
                <c:ptCount val="3"/>
                <c:pt idx="0">
                  <c:v>2017</c:v>
                </c:pt>
                <c:pt idx="1">
                  <c:v>2018</c:v>
                </c:pt>
                <c:pt idx="2">
                  <c:v>2019</c:v>
                </c:pt>
              </c:numCache>
            </c:numRef>
          </c:cat>
          <c:val>
            <c:numRef>
              <c:f>[1]!GraphStage3</c:f>
              <c:numCache>
                <c:formatCode>#,##0</c:formatCode>
                <c:ptCount val="3"/>
                <c:pt idx="0">
                  <c:v>1007</c:v>
                </c:pt>
                <c:pt idx="1">
                  <c:v>1151</c:v>
                </c:pt>
                <c:pt idx="2">
                  <c:v>1098.75</c:v>
                </c:pt>
              </c:numCache>
            </c:numRef>
          </c:val>
          <c:extLst xmlns:c16r2="http://schemas.microsoft.com/office/drawing/2015/06/chart">
            <c:ext xmlns:c16="http://schemas.microsoft.com/office/drawing/2014/chart" uri="{C3380CC4-5D6E-409C-BE32-E72D297353CC}">
              <c16:uniqueId val="{00000002-ACD3-48A3-AB7E-55D0C097101E}"/>
            </c:ext>
          </c:extLst>
        </c:ser>
        <c:ser>
          <c:idx val="3"/>
          <c:order val="3"/>
          <c:tx>
            <c:strRef>
              <c:f>[1]Planning!$U$18</c:f>
              <c:strCache>
                <c:ptCount val="1"/>
                <c:pt idx="0">
                  <c:v>community testing</c:v>
                </c:pt>
              </c:strCache>
            </c:strRef>
          </c:tx>
          <c:spPr>
            <a:solidFill>
              <a:srgbClr val="A162D0"/>
            </a:solidFill>
            <a:ln w="12700">
              <a:solidFill>
                <a:srgbClr val="000000"/>
              </a:solidFill>
              <a:prstDash val="solid"/>
            </a:ln>
          </c:spPr>
          <c:invertIfNegative val="0"/>
          <c:cat>
            <c:numRef>
              <c:f>[1]!GraphXValues</c:f>
              <c:numCache>
                <c:formatCode>General</c:formatCode>
                <c:ptCount val="3"/>
                <c:pt idx="0">
                  <c:v>2017</c:v>
                </c:pt>
                <c:pt idx="1">
                  <c:v>2018</c:v>
                </c:pt>
                <c:pt idx="2">
                  <c:v>2019</c:v>
                </c:pt>
              </c:numCache>
            </c:numRef>
          </c:cat>
          <c:val>
            <c:numRef>
              <c:f>[1]!GraphStage4</c:f>
              <c:numCache>
                <c:formatCode>#,##0</c:formatCode>
                <c:ptCount val="3"/>
                <c:pt idx="0">
                  <c:v>1007</c:v>
                </c:pt>
                <c:pt idx="1">
                  <c:v>1151</c:v>
                </c:pt>
                <c:pt idx="2">
                  <c:v>1098.75</c:v>
                </c:pt>
              </c:numCache>
            </c:numRef>
          </c:val>
          <c:extLst xmlns:c16r2="http://schemas.microsoft.com/office/drawing/2015/06/chart">
            <c:ext xmlns:c16="http://schemas.microsoft.com/office/drawing/2014/chart" uri="{C3380CC4-5D6E-409C-BE32-E72D297353CC}">
              <c16:uniqueId val="{00000003-ACD3-48A3-AB7E-55D0C097101E}"/>
            </c:ext>
          </c:extLst>
        </c:ser>
        <c:ser>
          <c:idx val="4"/>
          <c:order val="4"/>
          <c:tx>
            <c:strRef>
              <c:f>[1]Planning!$V$18</c:f>
              <c:strCache>
                <c:ptCount val="1"/>
                <c:pt idx="0">
                  <c:v>Con-sultant Check</c:v>
                </c:pt>
              </c:strCache>
            </c:strRef>
          </c:tx>
          <c:spPr>
            <a:solidFill>
              <a:srgbClr val="FFFF00"/>
            </a:solidFill>
            <a:ln w="12700">
              <a:solidFill>
                <a:srgbClr val="000000"/>
              </a:solidFill>
              <a:prstDash val="solid"/>
            </a:ln>
          </c:spPr>
          <c:invertIfNegative val="0"/>
          <c:cat>
            <c:numRef>
              <c:f>[1]!GraphXValues</c:f>
              <c:numCache>
                <c:formatCode>General</c:formatCode>
                <c:ptCount val="3"/>
                <c:pt idx="0">
                  <c:v>2017</c:v>
                </c:pt>
                <c:pt idx="1">
                  <c:v>2018</c:v>
                </c:pt>
                <c:pt idx="2">
                  <c:v>2019</c:v>
                </c:pt>
              </c:numCache>
            </c:numRef>
          </c:cat>
          <c:val>
            <c:numRef>
              <c:f>[1]!GraphStage5</c:f>
              <c:numCache>
                <c:formatCode>#,##0</c:formatCode>
                <c:ptCount val="3"/>
                <c:pt idx="0">
                  <c:v>1007</c:v>
                </c:pt>
                <c:pt idx="1">
                  <c:v>1151</c:v>
                </c:pt>
                <c:pt idx="2">
                  <c:v>1098.75</c:v>
                </c:pt>
              </c:numCache>
            </c:numRef>
          </c:val>
          <c:extLst xmlns:c16r2="http://schemas.microsoft.com/office/drawing/2015/06/chart">
            <c:ext xmlns:c16="http://schemas.microsoft.com/office/drawing/2014/chart" uri="{C3380CC4-5D6E-409C-BE32-E72D297353CC}">
              <c16:uniqueId val="{00000004-ACD3-48A3-AB7E-55D0C097101E}"/>
            </c:ext>
          </c:extLst>
        </c:ser>
        <c:ser>
          <c:idx val="5"/>
          <c:order val="5"/>
          <c:tx>
            <c:strRef>
              <c:f>[1]Planning!$W$18</c:f>
              <c:strCache>
                <c:ptCount val="1"/>
                <c:pt idx="0">
                  <c:v>Pub-lished</c:v>
                </c:pt>
              </c:strCache>
            </c:strRef>
          </c:tx>
          <c:spPr>
            <a:solidFill>
              <a:srgbClr val="00FFFF"/>
            </a:solidFill>
            <a:ln w="12700">
              <a:solidFill>
                <a:srgbClr val="000000"/>
              </a:solidFill>
              <a:prstDash val="solid"/>
            </a:ln>
          </c:spPr>
          <c:invertIfNegative val="0"/>
          <c:cat>
            <c:numRef>
              <c:f>[1]!GraphXValues</c:f>
              <c:numCache>
                <c:formatCode>General</c:formatCode>
                <c:ptCount val="3"/>
                <c:pt idx="0">
                  <c:v>2017</c:v>
                </c:pt>
                <c:pt idx="1">
                  <c:v>2018</c:v>
                </c:pt>
                <c:pt idx="2">
                  <c:v>2019</c:v>
                </c:pt>
              </c:numCache>
            </c:numRef>
          </c:cat>
          <c:val>
            <c:numRef>
              <c:f>[1]!GraphStage6</c:f>
              <c:numCache>
                <c:formatCode>#,##0</c:formatCode>
                <c:ptCount val="3"/>
                <c:pt idx="0">
                  <c:v>678</c:v>
                </c:pt>
                <c:pt idx="1">
                  <c:v>1007</c:v>
                </c:pt>
                <c:pt idx="2">
                  <c:v>1151</c:v>
                </c:pt>
              </c:numCache>
            </c:numRef>
          </c:val>
          <c:extLst xmlns:c16r2="http://schemas.microsoft.com/office/drawing/2015/06/chart">
            <c:ext xmlns:c16="http://schemas.microsoft.com/office/drawing/2014/chart" uri="{C3380CC4-5D6E-409C-BE32-E72D297353CC}">
              <c16:uniqueId val="{00000005-ACD3-48A3-AB7E-55D0C097101E}"/>
            </c:ext>
          </c:extLst>
        </c:ser>
        <c:dLbls>
          <c:showLegendKey val="0"/>
          <c:showVal val="0"/>
          <c:showCatName val="0"/>
          <c:showSerName val="0"/>
          <c:showPercent val="0"/>
          <c:showBubbleSize val="0"/>
        </c:dLbls>
        <c:gapWidth val="100"/>
        <c:axId val="193759872"/>
        <c:axId val="193331968"/>
      </c:barChart>
      <c:catAx>
        <c:axId val="193759872"/>
        <c:scaling>
          <c:orientation val="minMax"/>
        </c:scaling>
        <c:delete val="0"/>
        <c:axPos val="b"/>
        <c:title>
          <c:tx>
            <c:rich>
              <a:bodyPr/>
              <a:lstStyle/>
              <a:p>
                <a:pPr>
                  <a:defRPr sz="800" b="1" i="0" u="none" strike="noStrike" baseline="0">
                    <a:solidFill>
                      <a:srgbClr val="000000"/>
                    </a:solidFill>
                    <a:latin typeface="Arial"/>
                    <a:ea typeface="Arial"/>
                    <a:cs typeface="Arial"/>
                  </a:defRPr>
                </a:pPr>
                <a:r>
                  <a:rPr lang="en-US"/>
                  <a:t>Year of Plan</a:t>
                </a:r>
              </a:p>
            </c:rich>
          </c:tx>
          <c:layout>
            <c:manualLayout>
              <c:xMode val="edge"/>
              <c:yMode val="edge"/>
              <c:x val="0.36309586301712282"/>
              <c:y val="0.91911970562503209"/>
            </c:manualLayout>
          </c:layout>
          <c:overlay val="0"/>
          <c:spPr>
            <a:solidFill>
              <a:srgbClr val="A3FFAE"/>
            </a:solidFill>
            <a:ln w="25400">
              <a:solidFill>
                <a:srgbClr val="FF6400"/>
              </a:solid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800" b="1" i="0" u="none" strike="noStrike" baseline="0">
                <a:solidFill>
                  <a:srgbClr val="000000"/>
                </a:solidFill>
                <a:latin typeface="Arial"/>
                <a:ea typeface="Arial"/>
                <a:cs typeface="Arial"/>
              </a:defRPr>
            </a:pPr>
            <a:endParaRPr lang="en-US"/>
          </a:p>
        </c:txPr>
        <c:crossAx val="193331968"/>
        <c:crosses val="autoZero"/>
        <c:auto val="1"/>
        <c:lblAlgn val="ctr"/>
        <c:lblOffset val="100"/>
        <c:tickLblSkip val="1"/>
        <c:tickMarkSkip val="1"/>
        <c:noMultiLvlLbl val="0"/>
      </c:catAx>
      <c:valAx>
        <c:axId val="193331968"/>
        <c:scaling>
          <c:orientation val="minMax"/>
        </c:scaling>
        <c:delete val="0"/>
        <c:axPos val="l"/>
        <c:majorGridlines>
          <c:spPr>
            <a:ln w="25400">
              <a:solidFill>
                <a:srgbClr val="000000"/>
              </a:solidFill>
              <a:prstDash val="solid"/>
            </a:ln>
          </c:spPr>
        </c:majorGridlines>
        <c:minorGridlines>
          <c:spPr>
            <a:ln w="3175">
              <a:solidFill>
                <a:srgbClr val="000000"/>
              </a:solidFill>
              <a:prstDash val="solid"/>
            </a:ln>
          </c:spPr>
        </c:minorGridlines>
        <c:title>
          <c:tx>
            <c:rich>
              <a:bodyPr rot="0" vert="horz"/>
              <a:lstStyle/>
              <a:p>
                <a:pPr algn="ctr">
                  <a:defRPr sz="800" b="1" i="0" u="none" strike="noStrike" baseline="0">
                    <a:solidFill>
                      <a:srgbClr val="000000"/>
                    </a:solidFill>
                    <a:latin typeface="Arial"/>
                    <a:ea typeface="Arial"/>
                    <a:cs typeface="Arial"/>
                  </a:defRPr>
                </a:pPr>
                <a:r>
                  <a:rPr lang="en-US"/>
                  <a:t>Number
of
VE 
Planned
per
Year</a:t>
                </a:r>
              </a:p>
            </c:rich>
          </c:tx>
          <c:layout>
            <c:manualLayout>
              <c:xMode val="edge"/>
              <c:yMode val="edge"/>
              <c:x val="9.7947272969261898E-3"/>
              <c:y val="0.39705990733319374"/>
            </c:manualLayout>
          </c:layout>
          <c:overlay val="0"/>
          <c:spPr>
            <a:solidFill>
              <a:srgbClr val="A3FFAE"/>
            </a:solidFill>
            <a:ln w="25400">
              <a:solidFill>
                <a:srgbClr val="FF6400"/>
              </a:solidFill>
              <a:prstDash val="solid"/>
            </a:ln>
          </c:spPr>
        </c:title>
        <c:numFmt formatCode="#,##0" sourceLinked="1"/>
        <c:majorTickMark val="out"/>
        <c:minorTickMark val="none"/>
        <c:tickLblPos val="nextTo"/>
        <c:spPr>
          <a:ln w="3175">
            <a:solidFill>
              <a:srgbClr val="000000"/>
            </a:solidFill>
            <a:prstDash val="solid"/>
          </a:ln>
        </c:spPr>
        <c:txPr>
          <a:bodyPr rot="0" vert="horz"/>
          <a:lstStyle/>
          <a:p>
            <a:pPr>
              <a:defRPr sz="800" b="1" i="0" u="none" strike="noStrike" baseline="0">
                <a:solidFill>
                  <a:srgbClr val="000000"/>
                </a:solidFill>
                <a:latin typeface="Arial"/>
                <a:ea typeface="Arial"/>
                <a:cs typeface="Arial"/>
              </a:defRPr>
            </a:pPr>
            <a:endParaRPr lang="en-US"/>
          </a:p>
        </c:txPr>
        <c:crossAx val="193759872"/>
        <c:crosses val="autoZero"/>
        <c:crossBetween val="between"/>
        <c:majorUnit val="1000"/>
        <c:minorUnit val="500"/>
      </c:valAx>
      <c:spPr>
        <a:blipFill dpi="0" rotWithShape="0">
          <a:blip xmlns:r="http://schemas.openxmlformats.org/officeDocument/2006/relationships" r:embed="rId1"/>
          <a:srcRect/>
          <a:tile tx="0" ty="0" sx="100000" sy="100000" flip="none" algn="tl"/>
        </a:blipFill>
        <a:ln w="25400">
          <a:solidFill>
            <a:srgbClr val="000000"/>
          </a:solidFill>
          <a:prstDash val="solid"/>
        </a:ln>
      </c:spPr>
    </c:plotArea>
    <c:legend>
      <c:legendPos val="r"/>
      <c:layout>
        <c:manualLayout>
          <c:xMode val="edge"/>
          <c:yMode val="edge"/>
          <c:x val="0.68849331333583363"/>
          <c:y val="0.19362796562194418"/>
          <c:w val="0.3035720534933134"/>
          <c:h val="0.29411816170038313"/>
        </c:manualLayout>
      </c:layout>
      <c:overlay val="0"/>
      <c:spPr>
        <a:solidFill>
          <a:srgbClr val="8BD992"/>
        </a:solidFill>
        <a:ln w="25400">
          <a:solidFill>
            <a:srgbClr val="FF64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0"/>
    <c:dispBlanksAs val="gap"/>
    <c:showDLblsOverMax val="0"/>
  </c:chart>
  <c:spPr>
    <a:gradFill rotWithShape="0">
      <a:gsLst>
        <a:gs pos="0">
          <a:srgbClr val="52C65D"/>
        </a:gs>
        <a:gs pos="100000">
          <a:srgbClr val="52C65D">
            <a:gamma/>
            <a:shade val="46275"/>
            <a:invGamma/>
          </a:srgbClr>
        </a:gs>
      </a:gsLst>
      <a:lin ang="18900000" scaled="1"/>
    </a:gradFill>
    <a:ln w="25400">
      <a:solidFill>
        <a:srgbClr val="FF6400"/>
      </a:solidFill>
      <a:prstDash val="solid"/>
    </a:ln>
  </c:spPr>
  <c:txPr>
    <a:bodyPr/>
    <a:lstStyle/>
    <a:p>
      <a:pPr>
        <a:defRPr sz="450" b="0" i="0" u="none" strike="noStrike" baseline="0">
          <a:solidFill>
            <a:srgbClr val="000000"/>
          </a:solidFill>
          <a:latin typeface="Arial"/>
          <a:ea typeface="Arial"/>
          <a:cs typeface="Arial"/>
        </a:defRPr>
      </a:pPr>
      <a:endParaRPr lang="en-US"/>
    </a:p>
  </c:txPr>
  <c:printSettings>
    <c:headerFooter alignWithMargins="0"/>
    <c:pageMargins b="1" l="0.75000000000001177" r="0.75000000000001177" t="1" header="0.5" footer="0.5"/>
    <c:pageSetup orientation="landscape"/>
  </c:printSettings>
  <c:userShapes r:id="rId2"/>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sz="950" b="1" i="0" u="none" strike="noStrike" baseline="0">
                <a:solidFill>
                  <a:srgbClr val="000000"/>
                </a:solidFill>
                <a:latin typeface="Arial"/>
                <a:ea typeface="Arial"/>
                <a:cs typeface="Arial"/>
              </a:defRPr>
            </a:pPr>
            <a:r>
              <a:rPr lang="en-US"/>
              <a:t>Verse</a:t>
            </a:r>
            <a:r>
              <a:rPr lang="en-US" baseline="0"/>
              <a:t> Equivalents</a:t>
            </a:r>
            <a:r>
              <a:rPr lang="en-US"/>
              <a:t> (VE) scheduled per Year  
for each of the six Stages</a:t>
            </a:r>
          </a:p>
        </c:rich>
      </c:tx>
      <c:layout>
        <c:manualLayout>
          <c:xMode val="edge"/>
          <c:yMode val="edge"/>
          <c:x val="0.18909206650534757"/>
          <c:y val="2.8123578135230427E-2"/>
        </c:manualLayout>
      </c:layout>
      <c:overlay val="0"/>
      <c:spPr>
        <a:solidFill>
          <a:srgbClr val="8BD992"/>
        </a:solidFill>
        <a:ln w="25400">
          <a:solidFill>
            <a:srgbClr val="FF6400"/>
          </a:solidFill>
          <a:prstDash val="solid"/>
        </a:ln>
      </c:spPr>
    </c:title>
    <c:autoTitleDeleted val="0"/>
    <c:plotArea>
      <c:layout>
        <c:manualLayout>
          <c:layoutTarget val="inner"/>
          <c:xMode val="edge"/>
          <c:yMode val="edge"/>
          <c:x val="0.22549629401106719"/>
          <c:y val="0.19117692817700715"/>
          <c:w val="0.45109234323089831"/>
          <c:h val="0.64111501963493112"/>
        </c:manualLayout>
      </c:layout>
      <c:barChart>
        <c:barDir val="col"/>
        <c:grouping val="clustered"/>
        <c:varyColors val="0"/>
        <c:ser>
          <c:idx val="0"/>
          <c:order val="0"/>
          <c:tx>
            <c:strRef>
              <c:f>[1]Planning!$R$18</c:f>
              <c:strCache>
                <c:ptCount val="1"/>
                <c:pt idx="0">
                  <c:v>Exegesis &amp; First Draft</c:v>
                </c:pt>
              </c:strCache>
            </c:strRef>
          </c:tx>
          <c:spPr>
            <a:solidFill>
              <a:srgbClr val="FF0000"/>
            </a:solidFill>
            <a:ln w="12700">
              <a:solidFill>
                <a:srgbClr val="000000"/>
              </a:solidFill>
              <a:prstDash val="solid"/>
            </a:ln>
          </c:spPr>
          <c:invertIfNegative val="0"/>
          <c:cat>
            <c:numRef>
              <c:f>[1]!GraphXValues</c:f>
              <c:numCache>
                <c:formatCode>General</c:formatCode>
                <c:ptCount val="3"/>
                <c:pt idx="0">
                  <c:v>2017</c:v>
                </c:pt>
                <c:pt idx="1">
                  <c:v>2018</c:v>
                </c:pt>
                <c:pt idx="2">
                  <c:v>2019</c:v>
                </c:pt>
              </c:numCache>
            </c:numRef>
          </c:cat>
          <c:val>
            <c:numRef>
              <c:f>[1]!GraphStage1</c:f>
              <c:numCache>
                <c:formatCode>#,##0</c:formatCode>
                <c:ptCount val="3"/>
                <c:pt idx="0">
                  <c:v>1151</c:v>
                </c:pt>
                <c:pt idx="1">
                  <c:v>1098.75</c:v>
                </c:pt>
                <c:pt idx="2">
                  <c:v>0</c:v>
                </c:pt>
              </c:numCache>
            </c:numRef>
          </c:val>
          <c:extLst xmlns:c16r2="http://schemas.microsoft.com/office/drawing/2015/06/chart">
            <c:ext xmlns:c16="http://schemas.microsoft.com/office/drawing/2014/chart" uri="{C3380CC4-5D6E-409C-BE32-E72D297353CC}">
              <c16:uniqueId val="{00000000-A1FB-42FE-A2BF-9BA64FD74E2C}"/>
            </c:ext>
          </c:extLst>
        </c:ser>
        <c:ser>
          <c:idx val="1"/>
          <c:order val="1"/>
          <c:tx>
            <c:strRef>
              <c:f>[1]Planning!$S$18</c:f>
              <c:strCache>
                <c:ptCount val="1"/>
                <c:pt idx="0">
                  <c:v>Team Check</c:v>
                </c:pt>
              </c:strCache>
            </c:strRef>
          </c:tx>
          <c:spPr>
            <a:solidFill>
              <a:srgbClr val="262BFE"/>
            </a:solidFill>
            <a:ln w="12700">
              <a:solidFill>
                <a:srgbClr val="000000"/>
              </a:solidFill>
              <a:prstDash val="solid"/>
            </a:ln>
          </c:spPr>
          <c:invertIfNegative val="0"/>
          <c:cat>
            <c:numRef>
              <c:f>[1]!GraphXValues</c:f>
              <c:numCache>
                <c:formatCode>General</c:formatCode>
                <c:ptCount val="3"/>
                <c:pt idx="0">
                  <c:v>2017</c:v>
                </c:pt>
                <c:pt idx="1">
                  <c:v>2018</c:v>
                </c:pt>
                <c:pt idx="2">
                  <c:v>2019</c:v>
                </c:pt>
              </c:numCache>
            </c:numRef>
          </c:cat>
          <c:val>
            <c:numRef>
              <c:f>[1]!GraphStage2</c:f>
              <c:numCache>
                <c:formatCode>#,##0</c:formatCode>
                <c:ptCount val="3"/>
                <c:pt idx="0">
                  <c:v>1151</c:v>
                </c:pt>
                <c:pt idx="1">
                  <c:v>1098.75</c:v>
                </c:pt>
                <c:pt idx="2">
                  <c:v>0</c:v>
                </c:pt>
              </c:numCache>
            </c:numRef>
          </c:val>
          <c:extLst xmlns:c16r2="http://schemas.microsoft.com/office/drawing/2015/06/chart">
            <c:ext xmlns:c16="http://schemas.microsoft.com/office/drawing/2014/chart" uri="{C3380CC4-5D6E-409C-BE32-E72D297353CC}">
              <c16:uniqueId val="{00000001-A1FB-42FE-A2BF-9BA64FD74E2C}"/>
            </c:ext>
          </c:extLst>
        </c:ser>
        <c:ser>
          <c:idx val="2"/>
          <c:order val="2"/>
          <c:tx>
            <c:strRef>
              <c:f>[1]Planning!$T$18</c:f>
              <c:strCache>
                <c:ptCount val="1"/>
                <c:pt idx="0">
                  <c:v>Advisor check and back transaltion</c:v>
                </c:pt>
              </c:strCache>
            </c:strRef>
          </c:tx>
          <c:spPr>
            <a:solidFill>
              <a:srgbClr val="0AFE16"/>
            </a:solidFill>
            <a:ln w="12700">
              <a:solidFill>
                <a:srgbClr val="000000"/>
              </a:solidFill>
              <a:prstDash val="solid"/>
            </a:ln>
          </c:spPr>
          <c:invertIfNegative val="0"/>
          <c:cat>
            <c:numRef>
              <c:f>[1]!GraphXValues</c:f>
              <c:numCache>
                <c:formatCode>General</c:formatCode>
                <c:ptCount val="3"/>
                <c:pt idx="0">
                  <c:v>2017</c:v>
                </c:pt>
                <c:pt idx="1">
                  <c:v>2018</c:v>
                </c:pt>
                <c:pt idx="2">
                  <c:v>2019</c:v>
                </c:pt>
              </c:numCache>
            </c:numRef>
          </c:cat>
          <c:val>
            <c:numRef>
              <c:f>[1]!GraphStage3</c:f>
              <c:numCache>
                <c:formatCode>#,##0</c:formatCode>
                <c:ptCount val="3"/>
                <c:pt idx="0">
                  <c:v>1007</c:v>
                </c:pt>
                <c:pt idx="1">
                  <c:v>1151</c:v>
                </c:pt>
                <c:pt idx="2">
                  <c:v>1098.75</c:v>
                </c:pt>
              </c:numCache>
            </c:numRef>
          </c:val>
          <c:extLst xmlns:c16r2="http://schemas.microsoft.com/office/drawing/2015/06/chart">
            <c:ext xmlns:c16="http://schemas.microsoft.com/office/drawing/2014/chart" uri="{C3380CC4-5D6E-409C-BE32-E72D297353CC}">
              <c16:uniqueId val="{00000002-A1FB-42FE-A2BF-9BA64FD74E2C}"/>
            </c:ext>
          </c:extLst>
        </c:ser>
        <c:ser>
          <c:idx val="3"/>
          <c:order val="3"/>
          <c:tx>
            <c:strRef>
              <c:f>[1]Planning!$U$18</c:f>
              <c:strCache>
                <c:ptCount val="1"/>
                <c:pt idx="0">
                  <c:v>community testing</c:v>
                </c:pt>
              </c:strCache>
            </c:strRef>
          </c:tx>
          <c:spPr>
            <a:solidFill>
              <a:srgbClr val="A162D0"/>
            </a:solidFill>
            <a:ln w="12700">
              <a:solidFill>
                <a:srgbClr val="000000"/>
              </a:solidFill>
              <a:prstDash val="solid"/>
            </a:ln>
          </c:spPr>
          <c:invertIfNegative val="0"/>
          <c:cat>
            <c:numRef>
              <c:f>[1]!GraphXValues</c:f>
              <c:numCache>
                <c:formatCode>General</c:formatCode>
                <c:ptCount val="3"/>
                <c:pt idx="0">
                  <c:v>2017</c:v>
                </c:pt>
                <c:pt idx="1">
                  <c:v>2018</c:v>
                </c:pt>
                <c:pt idx="2">
                  <c:v>2019</c:v>
                </c:pt>
              </c:numCache>
            </c:numRef>
          </c:cat>
          <c:val>
            <c:numRef>
              <c:f>[1]!GraphStage4</c:f>
              <c:numCache>
                <c:formatCode>#,##0</c:formatCode>
                <c:ptCount val="3"/>
                <c:pt idx="0">
                  <c:v>1007</c:v>
                </c:pt>
                <c:pt idx="1">
                  <c:v>1151</c:v>
                </c:pt>
                <c:pt idx="2">
                  <c:v>1098.75</c:v>
                </c:pt>
              </c:numCache>
            </c:numRef>
          </c:val>
          <c:extLst xmlns:c16r2="http://schemas.microsoft.com/office/drawing/2015/06/chart">
            <c:ext xmlns:c16="http://schemas.microsoft.com/office/drawing/2014/chart" uri="{C3380CC4-5D6E-409C-BE32-E72D297353CC}">
              <c16:uniqueId val="{00000003-A1FB-42FE-A2BF-9BA64FD74E2C}"/>
            </c:ext>
          </c:extLst>
        </c:ser>
        <c:ser>
          <c:idx val="4"/>
          <c:order val="4"/>
          <c:tx>
            <c:strRef>
              <c:f>[1]Planning!$V$18</c:f>
              <c:strCache>
                <c:ptCount val="1"/>
                <c:pt idx="0">
                  <c:v>Con-sultant Check</c:v>
                </c:pt>
              </c:strCache>
            </c:strRef>
          </c:tx>
          <c:spPr>
            <a:solidFill>
              <a:srgbClr val="FFFF00"/>
            </a:solidFill>
            <a:ln w="12700">
              <a:solidFill>
                <a:srgbClr val="000000"/>
              </a:solidFill>
              <a:prstDash val="solid"/>
            </a:ln>
          </c:spPr>
          <c:invertIfNegative val="0"/>
          <c:cat>
            <c:numRef>
              <c:f>[1]!GraphXValues</c:f>
              <c:numCache>
                <c:formatCode>General</c:formatCode>
                <c:ptCount val="3"/>
                <c:pt idx="0">
                  <c:v>2017</c:v>
                </c:pt>
                <c:pt idx="1">
                  <c:v>2018</c:v>
                </c:pt>
                <c:pt idx="2">
                  <c:v>2019</c:v>
                </c:pt>
              </c:numCache>
            </c:numRef>
          </c:cat>
          <c:val>
            <c:numRef>
              <c:f>[1]!GraphStage5</c:f>
              <c:numCache>
                <c:formatCode>#,##0</c:formatCode>
                <c:ptCount val="3"/>
                <c:pt idx="0">
                  <c:v>1007</c:v>
                </c:pt>
                <c:pt idx="1">
                  <c:v>1151</c:v>
                </c:pt>
                <c:pt idx="2">
                  <c:v>1098.75</c:v>
                </c:pt>
              </c:numCache>
            </c:numRef>
          </c:val>
          <c:extLst xmlns:c16r2="http://schemas.microsoft.com/office/drawing/2015/06/chart">
            <c:ext xmlns:c16="http://schemas.microsoft.com/office/drawing/2014/chart" uri="{C3380CC4-5D6E-409C-BE32-E72D297353CC}">
              <c16:uniqueId val="{00000004-A1FB-42FE-A2BF-9BA64FD74E2C}"/>
            </c:ext>
          </c:extLst>
        </c:ser>
        <c:ser>
          <c:idx val="5"/>
          <c:order val="5"/>
          <c:tx>
            <c:strRef>
              <c:f>[1]Planning!$W$18</c:f>
              <c:strCache>
                <c:ptCount val="1"/>
                <c:pt idx="0">
                  <c:v>Pub-lished</c:v>
                </c:pt>
              </c:strCache>
            </c:strRef>
          </c:tx>
          <c:spPr>
            <a:solidFill>
              <a:srgbClr val="00FFFF"/>
            </a:solidFill>
            <a:ln w="12700">
              <a:solidFill>
                <a:srgbClr val="000000"/>
              </a:solidFill>
              <a:prstDash val="solid"/>
            </a:ln>
          </c:spPr>
          <c:invertIfNegative val="0"/>
          <c:cat>
            <c:numRef>
              <c:f>[1]!GraphXValues</c:f>
              <c:numCache>
                <c:formatCode>General</c:formatCode>
                <c:ptCount val="3"/>
                <c:pt idx="0">
                  <c:v>2017</c:v>
                </c:pt>
                <c:pt idx="1">
                  <c:v>2018</c:v>
                </c:pt>
                <c:pt idx="2">
                  <c:v>2019</c:v>
                </c:pt>
              </c:numCache>
            </c:numRef>
          </c:cat>
          <c:val>
            <c:numRef>
              <c:f>[1]!GraphStage6</c:f>
              <c:numCache>
                <c:formatCode>#,##0</c:formatCode>
                <c:ptCount val="3"/>
                <c:pt idx="0">
                  <c:v>678</c:v>
                </c:pt>
                <c:pt idx="1">
                  <c:v>1007</c:v>
                </c:pt>
                <c:pt idx="2">
                  <c:v>1151</c:v>
                </c:pt>
              </c:numCache>
            </c:numRef>
          </c:val>
          <c:extLst xmlns:c16r2="http://schemas.microsoft.com/office/drawing/2015/06/chart">
            <c:ext xmlns:c16="http://schemas.microsoft.com/office/drawing/2014/chart" uri="{C3380CC4-5D6E-409C-BE32-E72D297353CC}">
              <c16:uniqueId val="{00000005-A1FB-42FE-A2BF-9BA64FD74E2C}"/>
            </c:ext>
          </c:extLst>
        </c:ser>
        <c:dLbls>
          <c:showLegendKey val="0"/>
          <c:showVal val="0"/>
          <c:showCatName val="0"/>
          <c:showSerName val="0"/>
          <c:showPercent val="0"/>
          <c:showBubbleSize val="0"/>
        </c:dLbls>
        <c:gapWidth val="100"/>
        <c:axId val="194329984"/>
        <c:axId val="194332160"/>
      </c:barChart>
      <c:catAx>
        <c:axId val="194329984"/>
        <c:scaling>
          <c:orientation val="minMax"/>
        </c:scaling>
        <c:delete val="0"/>
        <c:axPos val="b"/>
        <c:title>
          <c:tx>
            <c:rich>
              <a:bodyPr/>
              <a:lstStyle/>
              <a:p>
                <a:pPr>
                  <a:defRPr sz="800" b="1" i="0" u="none" strike="noStrike" baseline="0">
                    <a:solidFill>
                      <a:srgbClr val="000000"/>
                    </a:solidFill>
                    <a:latin typeface="Arial"/>
                    <a:ea typeface="Arial"/>
                    <a:cs typeface="Arial"/>
                  </a:defRPr>
                </a:pPr>
                <a:r>
                  <a:rPr lang="en-US"/>
                  <a:t>Year of Plan</a:t>
                </a:r>
              </a:p>
            </c:rich>
          </c:tx>
          <c:layout>
            <c:manualLayout>
              <c:xMode val="edge"/>
              <c:yMode val="edge"/>
              <c:x val="0.36309586301712282"/>
              <c:y val="0.91911970562503209"/>
            </c:manualLayout>
          </c:layout>
          <c:overlay val="0"/>
          <c:spPr>
            <a:solidFill>
              <a:srgbClr val="A3FFAE"/>
            </a:solidFill>
            <a:ln w="25400">
              <a:solidFill>
                <a:srgbClr val="FF6400"/>
              </a:solid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800" b="1" i="0" u="none" strike="noStrike" baseline="0">
                <a:solidFill>
                  <a:srgbClr val="000000"/>
                </a:solidFill>
                <a:latin typeface="Arial"/>
                <a:ea typeface="Arial"/>
                <a:cs typeface="Arial"/>
              </a:defRPr>
            </a:pPr>
            <a:endParaRPr lang="en-US"/>
          </a:p>
        </c:txPr>
        <c:crossAx val="194332160"/>
        <c:crosses val="autoZero"/>
        <c:auto val="1"/>
        <c:lblAlgn val="ctr"/>
        <c:lblOffset val="100"/>
        <c:tickLblSkip val="1"/>
        <c:tickMarkSkip val="1"/>
        <c:noMultiLvlLbl val="0"/>
      </c:catAx>
      <c:valAx>
        <c:axId val="194332160"/>
        <c:scaling>
          <c:orientation val="minMax"/>
        </c:scaling>
        <c:delete val="0"/>
        <c:axPos val="l"/>
        <c:majorGridlines>
          <c:spPr>
            <a:ln w="25400">
              <a:solidFill>
                <a:srgbClr val="000000"/>
              </a:solidFill>
              <a:prstDash val="solid"/>
            </a:ln>
          </c:spPr>
        </c:majorGridlines>
        <c:minorGridlines>
          <c:spPr>
            <a:ln w="3175">
              <a:solidFill>
                <a:srgbClr val="000000"/>
              </a:solidFill>
              <a:prstDash val="solid"/>
            </a:ln>
          </c:spPr>
        </c:minorGridlines>
        <c:title>
          <c:tx>
            <c:rich>
              <a:bodyPr rot="0" vert="horz"/>
              <a:lstStyle/>
              <a:p>
                <a:pPr algn="ctr">
                  <a:defRPr sz="800" b="1" i="0" u="none" strike="noStrike" baseline="0">
                    <a:solidFill>
                      <a:srgbClr val="000000"/>
                    </a:solidFill>
                    <a:latin typeface="Arial"/>
                    <a:ea typeface="Arial"/>
                    <a:cs typeface="Arial"/>
                  </a:defRPr>
                </a:pPr>
                <a:r>
                  <a:rPr lang="en-US"/>
                  <a:t>Number
of
VE 
Planned
per
Year</a:t>
                </a:r>
              </a:p>
            </c:rich>
          </c:tx>
          <c:layout>
            <c:manualLayout>
              <c:xMode val="edge"/>
              <c:yMode val="edge"/>
              <c:x val="9.7947272969261898E-3"/>
              <c:y val="0.39705990733319374"/>
            </c:manualLayout>
          </c:layout>
          <c:overlay val="0"/>
          <c:spPr>
            <a:solidFill>
              <a:srgbClr val="A3FFAE"/>
            </a:solidFill>
            <a:ln w="25400">
              <a:solidFill>
                <a:srgbClr val="FF6400"/>
              </a:solidFill>
              <a:prstDash val="solid"/>
            </a:ln>
          </c:spPr>
        </c:title>
        <c:numFmt formatCode="#,##0" sourceLinked="1"/>
        <c:majorTickMark val="out"/>
        <c:minorTickMark val="none"/>
        <c:tickLblPos val="nextTo"/>
        <c:spPr>
          <a:ln w="3175">
            <a:solidFill>
              <a:srgbClr val="000000"/>
            </a:solidFill>
            <a:prstDash val="solid"/>
          </a:ln>
        </c:spPr>
        <c:txPr>
          <a:bodyPr rot="0" vert="horz"/>
          <a:lstStyle/>
          <a:p>
            <a:pPr>
              <a:defRPr sz="800" b="1" i="0" u="none" strike="noStrike" baseline="0">
                <a:solidFill>
                  <a:srgbClr val="000000"/>
                </a:solidFill>
                <a:latin typeface="Arial"/>
                <a:ea typeface="Arial"/>
                <a:cs typeface="Arial"/>
              </a:defRPr>
            </a:pPr>
            <a:endParaRPr lang="en-US"/>
          </a:p>
        </c:txPr>
        <c:crossAx val="194329984"/>
        <c:crosses val="autoZero"/>
        <c:crossBetween val="between"/>
        <c:majorUnit val="1000"/>
        <c:minorUnit val="500"/>
      </c:valAx>
      <c:spPr>
        <a:blipFill dpi="0" rotWithShape="0">
          <a:blip xmlns:r="http://schemas.openxmlformats.org/officeDocument/2006/relationships" r:embed="rId1"/>
          <a:srcRect/>
          <a:tile tx="0" ty="0" sx="100000" sy="100000" flip="none" algn="tl"/>
        </a:blipFill>
        <a:ln w="25400">
          <a:solidFill>
            <a:srgbClr val="000000"/>
          </a:solidFill>
          <a:prstDash val="solid"/>
        </a:ln>
      </c:spPr>
    </c:plotArea>
    <c:legend>
      <c:legendPos val="r"/>
      <c:layout>
        <c:manualLayout>
          <c:xMode val="edge"/>
          <c:yMode val="edge"/>
          <c:x val="0.68849331333583363"/>
          <c:y val="0.19362796562194418"/>
          <c:w val="0.3035720534933134"/>
          <c:h val="0.29411816170038313"/>
        </c:manualLayout>
      </c:layout>
      <c:overlay val="0"/>
      <c:spPr>
        <a:solidFill>
          <a:srgbClr val="8BD992"/>
        </a:solidFill>
        <a:ln w="25400">
          <a:solidFill>
            <a:srgbClr val="FF64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0"/>
    <c:dispBlanksAs val="gap"/>
    <c:showDLblsOverMax val="0"/>
  </c:chart>
  <c:spPr>
    <a:gradFill rotWithShape="0">
      <a:gsLst>
        <a:gs pos="0">
          <a:srgbClr val="52C65D"/>
        </a:gs>
        <a:gs pos="100000">
          <a:srgbClr val="52C65D">
            <a:gamma/>
            <a:shade val="46275"/>
            <a:invGamma/>
          </a:srgbClr>
        </a:gs>
      </a:gsLst>
      <a:lin ang="18900000" scaled="1"/>
    </a:gradFill>
    <a:ln w="25400">
      <a:solidFill>
        <a:srgbClr val="FF6400"/>
      </a:solidFill>
      <a:prstDash val="solid"/>
    </a:ln>
  </c:spPr>
  <c:txPr>
    <a:bodyPr/>
    <a:lstStyle/>
    <a:p>
      <a:pPr>
        <a:defRPr sz="450" b="0" i="0" u="none" strike="noStrike" baseline="0">
          <a:solidFill>
            <a:srgbClr val="000000"/>
          </a:solidFill>
          <a:latin typeface="Arial"/>
          <a:ea typeface="Arial"/>
          <a:cs typeface="Arial"/>
        </a:defRPr>
      </a:pPr>
      <a:endParaRPr lang="en-US"/>
    </a:p>
  </c:txPr>
  <c:printSettings>
    <c:headerFooter alignWithMargins="0"/>
    <c:pageMargins b="1" l="0.75000000000001177" r="0.75000000000001177" t="1" header="0.5" footer="0.5"/>
    <c:pageSetup orientation="landscape"/>
  </c:printSettings>
  <c:userShapes r:id="rId2"/>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editAs="oneCell">
    <xdr:from>
      <xdr:col>0</xdr:col>
      <xdr:colOff>56029</xdr:colOff>
      <xdr:row>55</xdr:row>
      <xdr:rowOff>12605</xdr:rowOff>
    </xdr:from>
    <xdr:to>
      <xdr:col>13</xdr:col>
      <xdr:colOff>26126</xdr:colOff>
      <xdr:row>99</xdr:row>
      <xdr:rowOff>126302</xdr:rowOff>
    </xdr:to>
    <xdr:graphicFrame macro="">
      <xdr:nvGraphicFramePr>
        <xdr:cNvPr id="2" name="Chart Stages">
          <a:extLst>
            <a:ext uri="{FF2B5EF4-FFF2-40B4-BE49-F238E27FC236}">
              <a16:creationId xmlns:a16="http://schemas.microsoft.com/office/drawing/2014/main" xmlns="" id="{9A7C7C3F-E730-4C0C-AC22-A62AC1E0FFDF}"/>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wsDr>
</file>

<file path=xl/drawings/drawing2.xml><?xml version="1.0" encoding="utf-8"?>
<c:userShapes xmlns:c="http://schemas.openxmlformats.org/drawingml/2006/chart">
  <cdr:absSizeAnchor xmlns:cdr="http://schemas.openxmlformats.org/drawingml/2006/chartDrawing">
    <cdr:from>
      <cdr:x>0.75559</cdr:x>
      <cdr:y>0.573</cdr:y>
    </cdr:from>
    <cdr:ext cx="646308" cy="168836"/>
    <cdr:sp macro="" textlink="">
      <cdr:nvSpPr>
        <cdr:cNvPr id="87043" name="Rectangle 1027"/>
        <cdr:cNvSpPr>
          <a:spLocks xmlns:a="http://schemas.openxmlformats.org/drawingml/2006/main" noChangeArrowheads="1"/>
        </cdr:cNvSpPr>
      </cdr:nvSpPr>
      <cdr:spPr bwMode="auto">
        <a:xfrm xmlns:a="http://schemas.openxmlformats.org/drawingml/2006/main">
          <a:off x="3636281" y="2000285"/>
          <a:ext cx="735881" cy="169414"/>
        </a:xfrm>
        <a:prstGeom xmlns:a="http://schemas.openxmlformats.org/drawingml/2006/main" prst="rect">
          <a:avLst/>
        </a:prstGeom>
        <a:solidFill xmlns:a="http://schemas.openxmlformats.org/drawingml/2006/main">
          <a:srgbClr val="8BFD96"/>
        </a:solidFill>
        <a:ln xmlns:a="http://schemas.openxmlformats.org/drawingml/2006/main" w="25400" algn="ctr">
          <a:solidFill>
            <a:srgbClr val="FF6400"/>
          </a:solidFill>
          <a:miter lim="800000"/>
          <a:headEnd/>
          <a:tailEnd/>
        </a:ln>
        <a:effectLst xmlns:a="http://schemas.openxmlformats.org/drawingml/2006/main"/>
      </cdr:spPr>
      <cdr:txBody>
        <a:bodyPr xmlns:a="http://schemas.openxmlformats.org/drawingml/2006/main" vertOverflow="clip" wrap="square" lIns="27432" tIns="22860" rIns="27432" bIns="22860" anchor="ctr" upright="1"/>
        <a:lstStyle xmlns:a="http://schemas.openxmlformats.org/drawingml/2006/main"/>
        <a:p xmlns:a="http://schemas.openxmlformats.org/drawingml/2006/main">
          <a:pPr algn="ctr" rtl="0">
            <a:defRPr sz="1000"/>
          </a:pPr>
          <a:r>
            <a:rPr lang="en-US" sz="800" b="1" i="0" u="none" strike="noStrike" baseline="0">
              <a:solidFill>
                <a:srgbClr val="000000"/>
              </a:solidFill>
              <a:latin typeface="Arial"/>
              <a:cs typeface="Arial"/>
            </a:rPr>
            <a:t>Scroll</a:t>
          </a:r>
        </a:p>
      </cdr:txBody>
    </cdr:sp>
  </cdr:absSizeAnchor>
  <cdr:absSizeAnchor xmlns:cdr="http://schemas.openxmlformats.org/drawingml/2006/chartDrawing">
    <cdr:from>
      <cdr:x>0.75289</cdr:x>
      <cdr:y>0.7573</cdr:y>
    </cdr:from>
    <cdr:ext cx="653578" cy="157808"/>
    <cdr:sp macro="" textlink="">
      <cdr:nvSpPr>
        <cdr:cNvPr id="87044" name="Rectangle 1028"/>
        <cdr:cNvSpPr>
          <a:spLocks xmlns:a="http://schemas.openxmlformats.org/drawingml/2006/main" noChangeArrowheads="1"/>
        </cdr:cNvSpPr>
      </cdr:nvSpPr>
      <cdr:spPr bwMode="auto">
        <a:xfrm xmlns:a="http://schemas.openxmlformats.org/drawingml/2006/main">
          <a:off x="3624675" y="2953413"/>
          <a:ext cx="743772" cy="176722"/>
        </a:xfrm>
        <a:prstGeom xmlns:a="http://schemas.openxmlformats.org/drawingml/2006/main" prst="rect">
          <a:avLst/>
        </a:prstGeom>
        <a:solidFill xmlns:a="http://schemas.openxmlformats.org/drawingml/2006/main">
          <a:srgbClr val="8BFD96"/>
        </a:solidFill>
        <a:ln xmlns:a="http://schemas.openxmlformats.org/drawingml/2006/main" w="25400" algn="ctr">
          <a:solidFill>
            <a:srgbClr val="FF6400"/>
          </a:solidFill>
          <a:miter lim="800000"/>
          <a:headEnd/>
          <a:tailEnd/>
        </a:ln>
        <a:effectLst xmlns:a="http://schemas.openxmlformats.org/drawingml/2006/main"/>
      </cdr:spPr>
      <cdr:txBody>
        <a:bodyPr xmlns:a="http://schemas.openxmlformats.org/drawingml/2006/main" vertOverflow="clip" wrap="square" lIns="27432" tIns="22860" rIns="27432" bIns="22860" anchor="ctr" upright="1"/>
        <a:lstStyle xmlns:a="http://schemas.openxmlformats.org/drawingml/2006/main"/>
        <a:p xmlns:a="http://schemas.openxmlformats.org/drawingml/2006/main">
          <a:pPr algn="ctr" rtl="0">
            <a:defRPr sz="1000"/>
          </a:pPr>
          <a:r>
            <a:rPr lang="en-US" sz="800" b="1" i="0" u="none" strike="noStrike" baseline="0">
              <a:solidFill>
                <a:srgbClr val="000000"/>
              </a:solidFill>
              <a:latin typeface="Arial"/>
              <a:cs typeface="Arial"/>
            </a:rPr>
            <a:t>Zoom</a:t>
          </a:r>
        </a:p>
      </cdr:txBody>
    </cdr:sp>
  </cdr:absSizeAnchor>
</c:userShapes>
</file>

<file path=xl/drawings/drawing3.xml><?xml version="1.0" encoding="utf-8"?>
<xdr:wsDr xmlns:xdr="http://schemas.openxmlformats.org/drawingml/2006/spreadsheetDrawing" xmlns:a="http://schemas.openxmlformats.org/drawingml/2006/main">
  <xdr:twoCellAnchor editAs="oneCell">
    <xdr:from>
      <xdr:col>0</xdr:col>
      <xdr:colOff>56029</xdr:colOff>
      <xdr:row>55</xdr:row>
      <xdr:rowOff>12605</xdr:rowOff>
    </xdr:from>
    <xdr:to>
      <xdr:col>0</xdr:col>
      <xdr:colOff>0</xdr:colOff>
      <xdr:row>99</xdr:row>
      <xdr:rowOff>126302</xdr:rowOff>
    </xdr:to>
    <xdr:graphicFrame macro="">
      <xdr:nvGraphicFramePr>
        <xdr:cNvPr id="2" name="Chart Stages">
          <a:extLst>
            <a:ext uri="{FF2B5EF4-FFF2-40B4-BE49-F238E27FC236}">
              <a16:creationId xmlns:a16="http://schemas.microsoft.com/office/drawing/2014/main" xmlns="" id="{00000000-0008-0000-00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wsDr>
</file>

<file path=xl/drawings/drawing4.xml><?xml version="1.0" encoding="utf-8"?>
<c:userShapes xmlns:c="http://schemas.openxmlformats.org/drawingml/2006/chart">
  <cdr:absSizeAnchor xmlns:cdr="http://schemas.openxmlformats.org/drawingml/2006/chartDrawing">
    <cdr:from>
      <cdr:x>0.75559</cdr:x>
      <cdr:y>0.573</cdr:y>
    </cdr:from>
    <cdr:ext cx="646308" cy="168836"/>
    <cdr:sp macro="" textlink="">
      <cdr:nvSpPr>
        <cdr:cNvPr id="87043" name="Rectangle 1027"/>
        <cdr:cNvSpPr>
          <a:spLocks xmlns:a="http://schemas.openxmlformats.org/drawingml/2006/main" noChangeArrowheads="1"/>
        </cdr:cNvSpPr>
      </cdr:nvSpPr>
      <cdr:spPr bwMode="auto">
        <a:xfrm xmlns:a="http://schemas.openxmlformats.org/drawingml/2006/main">
          <a:off x="3636281" y="2000285"/>
          <a:ext cx="735881" cy="169414"/>
        </a:xfrm>
        <a:prstGeom xmlns:a="http://schemas.openxmlformats.org/drawingml/2006/main" prst="rect">
          <a:avLst/>
        </a:prstGeom>
        <a:solidFill xmlns:a="http://schemas.openxmlformats.org/drawingml/2006/main">
          <a:srgbClr val="8BFD96"/>
        </a:solidFill>
        <a:ln xmlns:a="http://schemas.openxmlformats.org/drawingml/2006/main" w="25400" algn="ctr">
          <a:solidFill>
            <a:srgbClr val="FF6400"/>
          </a:solidFill>
          <a:miter lim="800000"/>
          <a:headEnd/>
          <a:tailEnd/>
        </a:ln>
        <a:effectLst xmlns:a="http://schemas.openxmlformats.org/drawingml/2006/main"/>
      </cdr:spPr>
      <cdr:txBody>
        <a:bodyPr xmlns:a="http://schemas.openxmlformats.org/drawingml/2006/main" vertOverflow="clip" wrap="square" lIns="27432" tIns="22860" rIns="27432" bIns="22860" anchor="ctr" upright="1"/>
        <a:lstStyle xmlns:a="http://schemas.openxmlformats.org/drawingml/2006/main"/>
        <a:p xmlns:a="http://schemas.openxmlformats.org/drawingml/2006/main">
          <a:pPr algn="ctr" rtl="0">
            <a:defRPr sz="1000"/>
          </a:pPr>
          <a:r>
            <a:rPr lang="en-US" sz="800" b="1" i="0" u="none" strike="noStrike" baseline="0">
              <a:solidFill>
                <a:srgbClr val="000000"/>
              </a:solidFill>
              <a:latin typeface="Arial"/>
              <a:cs typeface="Arial"/>
            </a:rPr>
            <a:t>Scroll</a:t>
          </a:r>
        </a:p>
      </cdr:txBody>
    </cdr:sp>
  </cdr:absSizeAnchor>
  <cdr:absSizeAnchor xmlns:cdr="http://schemas.openxmlformats.org/drawingml/2006/chartDrawing">
    <cdr:from>
      <cdr:x>0.75289</cdr:x>
      <cdr:y>0.7573</cdr:y>
    </cdr:from>
    <cdr:ext cx="653578" cy="157808"/>
    <cdr:sp macro="" textlink="">
      <cdr:nvSpPr>
        <cdr:cNvPr id="87044" name="Rectangle 1028"/>
        <cdr:cNvSpPr>
          <a:spLocks xmlns:a="http://schemas.openxmlformats.org/drawingml/2006/main" noChangeArrowheads="1"/>
        </cdr:cNvSpPr>
      </cdr:nvSpPr>
      <cdr:spPr bwMode="auto">
        <a:xfrm xmlns:a="http://schemas.openxmlformats.org/drawingml/2006/main">
          <a:off x="3624675" y="2953413"/>
          <a:ext cx="743772" cy="176722"/>
        </a:xfrm>
        <a:prstGeom xmlns:a="http://schemas.openxmlformats.org/drawingml/2006/main" prst="rect">
          <a:avLst/>
        </a:prstGeom>
        <a:solidFill xmlns:a="http://schemas.openxmlformats.org/drawingml/2006/main">
          <a:srgbClr val="8BFD96"/>
        </a:solidFill>
        <a:ln xmlns:a="http://schemas.openxmlformats.org/drawingml/2006/main" w="25400" algn="ctr">
          <a:solidFill>
            <a:srgbClr val="FF6400"/>
          </a:solidFill>
          <a:miter lim="800000"/>
          <a:headEnd/>
          <a:tailEnd/>
        </a:ln>
        <a:effectLst xmlns:a="http://schemas.openxmlformats.org/drawingml/2006/main"/>
      </cdr:spPr>
      <cdr:txBody>
        <a:bodyPr xmlns:a="http://schemas.openxmlformats.org/drawingml/2006/main" vertOverflow="clip" wrap="square" lIns="27432" tIns="22860" rIns="27432" bIns="22860" anchor="ctr" upright="1"/>
        <a:lstStyle xmlns:a="http://schemas.openxmlformats.org/drawingml/2006/main"/>
        <a:p xmlns:a="http://schemas.openxmlformats.org/drawingml/2006/main">
          <a:pPr algn="ctr" rtl="0">
            <a:defRPr sz="1000"/>
          </a:pPr>
          <a:r>
            <a:rPr lang="en-US" sz="800" b="1" i="0" u="none" strike="noStrike" baseline="0">
              <a:solidFill>
                <a:srgbClr val="000000"/>
              </a:solidFill>
              <a:latin typeface="Arial"/>
              <a:cs typeface="Arial"/>
            </a:rPr>
            <a:t>Zoom</a:t>
          </a:r>
        </a:p>
      </cdr:txBody>
    </cdr:sp>
  </cdr:abs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Samuk%20q4%202019%201941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ning"/>
      <sheetName val="Progress"/>
      <sheetName val="Examples"/>
      <sheetName val="Verses per Chapter"/>
      <sheetName val="Calculations"/>
      <sheetName val="Changes"/>
      <sheetName val="Samuk q4 2019 19419"/>
    </sheetNames>
    <definedNames>
      <definedName name="GraphStage1" refersTo="#REF!"/>
      <definedName name="GraphStage2" refersTo="#REF!"/>
      <definedName name="GraphStage3" refersTo="#REF!"/>
      <definedName name="GraphStage4" refersTo="#REF!"/>
      <definedName name="GraphStage5" refersTo="#REF!"/>
      <definedName name="GraphStage6" refersTo="#REF!"/>
      <definedName name="GraphXValues" refersTo="#REF!"/>
    </definedNames>
    <sheetDataSet>
      <sheetData sheetId="0">
        <row r="11">
          <cell r="W11">
            <v>41516</v>
          </cell>
        </row>
        <row r="13">
          <cell r="N13" t="str">
            <v>Samuk</v>
          </cell>
          <cell r="W13">
            <v>42644</v>
          </cell>
        </row>
        <row r="14">
          <cell r="T14" t="str">
            <v>Begin Date of Current Phase:</v>
          </cell>
          <cell r="W14">
            <v>42644</v>
          </cell>
        </row>
        <row r="15">
          <cell r="T15" t="str">
            <v>End Date of Current Phase:</v>
          </cell>
          <cell r="W15">
            <v>43738</v>
          </cell>
        </row>
        <row r="17">
          <cell r="Q17" t="str">
            <v>Verses in this Project</v>
          </cell>
        </row>
        <row r="18">
          <cell r="R18" t="str">
            <v>Exegesis &amp; First Draft</v>
          </cell>
          <cell r="S18" t="str">
            <v>Team Check</v>
          </cell>
          <cell r="T18" t="str">
            <v>Advisor check and back transaltion</v>
          </cell>
          <cell r="U18" t="str">
            <v>community testing</v>
          </cell>
          <cell r="V18" t="str">
            <v>Con-sultant Check</v>
          </cell>
          <cell r="W18" t="str">
            <v>Pub-lished</v>
          </cell>
          <cell r="AG18">
            <v>0.2830421246584916</v>
          </cell>
        </row>
        <row r="19">
          <cell r="F19">
            <v>2017</v>
          </cell>
          <cell r="H19">
            <v>2</v>
          </cell>
          <cell r="I19">
            <v>15</v>
          </cell>
          <cell r="J19">
            <v>180</v>
          </cell>
          <cell r="K19">
            <v>181.35</v>
          </cell>
          <cell r="L19">
            <v>1046.0999999999999</v>
          </cell>
          <cell r="N19">
            <v>3934.75</v>
          </cell>
          <cell r="AG19">
            <v>0.26586187178346782</v>
          </cell>
        </row>
        <row r="20">
          <cell r="F20">
            <v>2018</v>
          </cell>
          <cell r="H20">
            <v>2</v>
          </cell>
          <cell r="I20">
            <v>18</v>
          </cell>
          <cell r="J20">
            <v>180</v>
          </cell>
          <cell r="K20">
            <v>181.58263888888888</v>
          </cell>
          <cell r="L20">
            <v>1110.4749999999999</v>
          </cell>
          <cell r="AG20">
            <v>0.28222250460639176</v>
          </cell>
        </row>
        <row r="21">
          <cell r="F21">
            <v>2019</v>
          </cell>
          <cell r="H21">
            <v>2</v>
          </cell>
          <cell r="I21">
            <v>18</v>
          </cell>
          <cell r="J21">
            <v>180</v>
          </cell>
          <cell r="K21">
            <v>170.61041666666665</v>
          </cell>
          <cell r="L21">
            <v>554.6</v>
          </cell>
          <cell r="R21">
            <v>0.4</v>
          </cell>
          <cell r="S21">
            <v>0.1</v>
          </cell>
          <cell r="T21">
            <v>0.2</v>
          </cell>
          <cell r="U21">
            <v>0.1</v>
          </cell>
          <cell r="V21">
            <v>0.1</v>
          </cell>
          <cell r="W21">
            <v>0.1</v>
          </cell>
          <cell r="Y21">
            <v>0.4</v>
          </cell>
          <cell r="Z21">
            <v>0.1</v>
          </cell>
          <cell r="AA21">
            <v>0.2</v>
          </cell>
          <cell r="AB21">
            <v>0.1</v>
          </cell>
          <cell r="AC21">
            <v>0.1</v>
          </cell>
          <cell r="AD21">
            <v>0.1</v>
          </cell>
          <cell r="AG21">
            <v>0.14094923438592033</v>
          </cell>
        </row>
        <row r="22">
          <cell r="F22">
            <v>2020</v>
          </cell>
          <cell r="K22">
            <v>0</v>
          </cell>
          <cell r="L22" t="str">
            <v/>
          </cell>
          <cell r="N22" t="str">
            <v>Books</v>
          </cell>
          <cell r="R22">
            <v>1151</v>
          </cell>
          <cell r="S22">
            <v>1151</v>
          </cell>
          <cell r="T22">
            <v>1007</v>
          </cell>
          <cell r="U22">
            <v>1007</v>
          </cell>
          <cell r="V22">
            <v>1007</v>
          </cell>
          <cell r="W22">
            <v>678</v>
          </cell>
          <cell r="Y22">
            <v>76.733333333333334</v>
          </cell>
          <cell r="Z22">
            <v>19.183333333333334</v>
          </cell>
          <cell r="AA22">
            <v>33.56666666666667</v>
          </cell>
          <cell r="AB22">
            <v>16.783333333333335</v>
          </cell>
          <cell r="AC22">
            <v>16.783333333333335</v>
          </cell>
          <cell r="AD22">
            <v>11.3</v>
          </cell>
          <cell r="AE22">
            <v>181.35</v>
          </cell>
          <cell r="AG22">
            <v>0</v>
          </cell>
        </row>
        <row r="23">
          <cell r="F23">
            <v>2021</v>
          </cell>
          <cell r="K23">
            <v>0</v>
          </cell>
          <cell r="L23" t="str">
            <v/>
          </cell>
          <cell r="O23" t="str">
            <v/>
          </cell>
          <cell r="P23" t="str">
            <v/>
          </cell>
          <cell r="Q23" t="str">
            <v/>
          </cell>
          <cell r="Y23">
            <v>0</v>
          </cell>
          <cell r="Z23">
            <v>0</v>
          </cell>
          <cell r="AA23">
            <v>0</v>
          </cell>
          <cell r="AB23">
            <v>0</v>
          </cell>
          <cell r="AC23">
            <v>0</v>
          </cell>
          <cell r="AD23">
            <v>0</v>
          </cell>
          <cell r="AE23">
            <v>0</v>
          </cell>
          <cell r="AG23">
            <v>0</v>
          </cell>
        </row>
        <row r="24">
          <cell r="F24">
            <v>2022</v>
          </cell>
          <cell r="K24">
            <v>0</v>
          </cell>
          <cell r="L24" t="str">
            <v/>
          </cell>
          <cell r="O24" t="str">
            <v/>
          </cell>
          <cell r="P24" t="str">
            <v/>
          </cell>
          <cell r="Q24" t="str">
            <v/>
          </cell>
          <cell r="Y24">
            <v>0</v>
          </cell>
          <cell r="Z24">
            <v>0</v>
          </cell>
          <cell r="AA24">
            <v>0</v>
          </cell>
          <cell r="AB24">
            <v>0</v>
          </cell>
          <cell r="AC24">
            <v>0</v>
          </cell>
          <cell r="AD24">
            <v>0</v>
          </cell>
          <cell r="AE24">
            <v>0</v>
          </cell>
          <cell r="AG24">
            <v>0</v>
          </cell>
        </row>
        <row r="25">
          <cell r="F25">
            <v>2023</v>
          </cell>
          <cell r="K25">
            <v>0</v>
          </cell>
          <cell r="L25" t="str">
            <v/>
          </cell>
          <cell r="O25" t="str">
            <v/>
          </cell>
          <cell r="P25" t="str">
            <v/>
          </cell>
          <cell r="Q25" t="str">
            <v/>
          </cell>
          <cell r="Y25">
            <v>0</v>
          </cell>
          <cell r="Z25">
            <v>0</v>
          </cell>
          <cell r="AA25">
            <v>0</v>
          </cell>
          <cell r="AB25">
            <v>0</v>
          </cell>
          <cell r="AC25">
            <v>0</v>
          </cell>
          <cell r="AD25">
            <v>0</v>
          </cell>
          <cell r="AE25">
            <v>0</v>
          </cell>
          <cell r="AG25">
            <v>0</v>
          </cell>
        </row>
        <row r="26">
          <cell r="F26">
            <v>2024</v>
          </cell>
          <cell r="K26">
            <v>0</v>
          </cell>
          <cell r="L26" t="str">
            <v/>
          </cell>
          <cell r="O26" t="str">
            <v/>
          </cell>
          <cell r="P26" t="str">
            <v/>
          </cell>
          <cell r="Q26" t="str">
            <v/>
          </cell>
          <cell r="Y26">
            <v>0</v>
          </cell>
          <cell r="Z26">
            <v>0</v>
          </cell>
          <cell r="AA26">
            <v>0</v>
          </cell>
          <cell r="AB26">
            <v>0</v>
          </cell>
          <cell r="AC26">
            <v>0</v>
          </cell>
          <cell r="AD26">
            <v>0</v>
          </cell>
          <cell r="AE26">
            <v>0</v>
          </cell>
          <cell r="AG26">
            <v>0</v>
          </cell>
        </row>
        <row r="27">
          <cell r="F27">
            <v>2025</v>
          </cell>
          <cell r="K27">
            <v>0</v>
          </cell>
          <cell r="L27" t="str">
            <v/>
          </cell>
          <cell r="O27" t="str">
            <v/>
          </cell>
          <cell r="P27" t="str">
            <v/>
          </cell>
          <cell r="Q27" t="str">
            <v/>
          </cell>
          <cell r="Y27">
            <v>0</v>
          </cell>
          <cell r="Z27">
            <v>0</v>
          </cell>
          <cell r="AA27">
            <v>0</v>
          </cell>
          <cell r="AB27">
            <v>0</v>
          </cell>
          <cell r="AC27">
            <v>0</v>
          </cell>
          <cell r="AD27">
            <v>0</v>
          </cell>
          <cell r="AE27">
            <v>0</v>
          </cell>
          <cell r="AG27">
            <v>0</v>
          </cell>
        </row>
        <row r="28">
          <cell r="F28">
            <v>2026</v>
          </cell>
          <cell r="K28">
            <v>0</v>
          </cell>
          <cell r="L28" t="str">
            <v/>
          </cell>
          <cell r="O28" t="str">
            <v/>
          </cell>
          <cell r="P28" t="str">
            <v/>
          </cell>
          <cell r="Q28" t="str">
            <v/>
          </cell>
          <cell r="Y28">
            <v>0</v>
          </cell>
          <cell r="Z28">
            <v>0</v>
          </cell>
          <cell r="AA28">
            <v>0</v>
          </cell>
          <cell r="AB28">
            <v>0</v>
          </cell>
          <cell r="AC28">
            <v>0</v>
          </cell>
          <cell r="AD28">
            <v>0</v>
          </cell>
          <cell r="AE28">
            <v>0</v>
          </cell>
          <cell r="AG28">
            <v>0</v>
          </cell>
        </row>
        <row r="29">
          <cell r="F29">
            <v>2027</v>
          </cell>
          <cell r="K29">
            <v>0</v>
          </cell>
          <cell r="L29" t="str">
            <v/>
          </cell>
          <cell r="O29" t="str">
            <v/>
          </cell>
          <cell r="P29" t="str">
            <v/>
          </cell>
          <cell r="Q29" t="str">
            <v/>
          </cell>
          <cell r="Y29">
            <v>0</v>
          </cell>
          <cell r="Z29">
            <v>0</v>
          </cell>
          <cell r="AA29">
            <v>0</v>
          </cell>
          <cell r="AB29">
            <v>0</v>
          </cell>
          <cell r="AC29">
            <v>0</v>
          </cell>
          <cell r="AD29">
            <v>0</v>
          </cell>
          <cell r="AE29">
            <v>0</v>
          </cell>
          <cell r="AG29">
            <v>0</v>
          </cell>
        </row>
        <row r="30">
          <cell r="F30">
            <v>2028</v>
          </cell>
          <cell r="K30">
            <v>0</v>
          </cell>
          <cell r="L30" t="str">
            <v/>
          </cell>
          <cell r="O30" t="str">
            <v/>
          </cell>
          <cell r="P30" t="str">
            <v/>
          </cell>
          <cell r="Q30" t="str">
            <v/>
          </cell>
          <cell r="Y30">
            <v>0</v>
          </cell>
          <cell r="Z30">
            <v>0</v>
          </cell>
          <cell r="AA30">
            <v>0</v>
          </cell>
          <cell r="AB30">
            <v>0</v>
          </cell>
          <cell r="AC30">
            <v>0</v>
          </cell>
          <cell r="AD30">
            <v>0</v>
          </cell>
          <cell r="AE30">
            <v>0</v>
          </cell>
          <cell r="AG30">
            <v>0</v>
          </cell>
        </row>
        <row r="31">
          <cell r="F31">
            <v>2029</v>
          </cell>
          <cell r="K31">
            <v>0</v>
          </cell>
          <cell r="L31" t="str">
            <v/>
          </cell>
          <cell r="O31" t="str">
            <v/>
          </cell>
          <cell r="P31" t="str">
            <v/>
          </cell>
          <cell r="Q31" t="str">
            <v/>
          </cell>
          <cell r="Y31">
            <v>0</v>
          </cell>
          <cell r="Z31">
            <v>0</v>
          </cell>
          <cell r="AA31">
            <v>0</v>
          </cell>
          <cell r="AB31">
            <v>0</v>
          </cell>
          <cell r="AC31">
            <v>0</v>
          </cell>
          <cell r="AD31">
            <v>0</v>
          </cell>
          <cell r="AE31">
            <v>0</v>
          </cell>
          <cell r="AG31">
            <v>0</v>
          </cell>
        </row>
        <row r="32">
          <cell r="F32">
            <v>2030</v>
          </cell>
          <cell r="K32">
            <v>0</v>
          </cell>
          <cell r="L32" t="str">
            <v/>
          </cell>
          <cell r="O32" t="str">
            <v/>
          </cell>
          <cell r="P32" t="str">
            <v/>
          </cell>
          <cell r="Q32" t="str">
            <v/>
          </cell>
          <cell r="Y32">
            <v>0</v>
          </cell>
          <cell r="Z32">
            <v>0</v>
          </cell>
          <cell r="AA32">
            <v>0</v>
          </cell>
          <cell r="AB32">
            <v>0</v>
          </cell>
          <cell r="AC32">
            <v>0</v>
          </cell>
          <cell r="AD32">
            <v>0</v>
          </cell>
          <cell r="AE32">
            <v>0</v>
          </cell>
          <cell r="AG32">
            <v>0</v>
          </cell>
        </row>
        <row r="33">
          <cell r="F33">
            <v>2031</v>
          </cell>
          <cell r="K33">
            <v>0</v>
          </cell>
          <cell r="L33" t="str">
            <v/>
          </cell>
          <cell r="O33" t="str">
            <v/>
          </cell>
          <cell r="P33" t="str">
            <v/>
          </cell>
          <cell r="Q33" t="str">
            <v/>
          </cell>
          <cell r="Y33">
            <v>0</v>
          </cell>
          <cell r="Z33">
            <v>0</v>
          </cell>
          <cell r="AA33">
            <v>0</v>
          </cell>
          <cell r="AB33">
            <v>0</v>
          </cell>
          <cell r="AC33">
            <v>0</v>
          </cell>
          <cell r="AD33">
            <v>0</v>
          </cell>
          <cell r="AE33">
            <v>0</v>
          </cell>
          <cell r="AG33">
            <v>0</v>
          </cell>
        </row>
        <row r="34">
          <cell r="F34">
            <v>2032</v>
          </cell>
          <cell r="K34">
            <v>0</v>
          </cell>
          <cell r="L34" t="str">
            <v/>
          </cell>
          <cell r="O34" t="str">
            <v/>
          </cell>
          <cell r="P34" t="str">
            <v/>
          </cell>
          <cell r="Q34" t="str">
            <v/>
          </cell>
          <cell r="Y34">
            <v>0</v>
          </cell>
          <cell r="Z34">
            <v>0</v>
          </cell>
          <cell r="AA34">
            <v>0</v>
          </cell>
          <cell r="AB34">
            <v>0</v>
          </cell>
          <cell r="AC34">
            <v>0</v>
          </cell>
          <cell r="AD34">
            <v>0</v>
          </cell>
          <cell r="AE34">
            <v>0</v>
          </cell>
          <cell r="AG34">
            <v>0</v>
          </cell>
        </row>
        <row r="35">
          <cell r="F35">
            <v>2033</v>
          </cell>
          <cell r="K35">
            <v>0</v>
          </cell>
          <cell r="L35" t="str">
            <v/>
          </cell>
          <cell r="O35" t="str">
            <v/>
          </cell>
          <cell r="P35" t="str">
            <v/>
          </cell>
          <cell r="Q35" t="str">
            <v/>
          </cell>
          <cell r="Y35">
            <v>0</v>
          </cell>
          <cell r="Z35">
            <v>0</v>
          </cell>
          <cell r="AA35">
            <v>0</v>
          </cell>
          <cell r="AB35">
            <v>0</v>
          </cell>
          <cell r="AC35">
            <v>0</v>
          </cell>
          <cell r="AD35">
            <v>0</v>
          </cell>
          <cell r="AE35">
            <v>0</v>
          </cell>
          <cell r="AG35">
            <v>0</v>
          </cell>
        </row>
        <row r="36">
          <cell r="F36">
            <v>2034</v>
          </cell>
          <cell r="K36">
            <v>0</v>
          </cell>
          <cell r="L36" t="str">
            <v/>
          </cell>
          <cell r="O36" t="str">
            <v/>
          </cell>
          <cell r="P36" t="str">
            <v/>
          </cell>
          <cell r="Q36" t="str">
            <v/>
          </cell>
          <cell r="Y36">
            <v>0</v>
          </cell>
          <cell r="Z36">
            <v>0</v>
          </cell>
          <cell r="AA36">
            <v>0</v>
          </cell>
          <cell r="AB36">
            <v>0</v>
          </cell>
          <cell r="AC36">
            <v>0</v>
          </cell>
          <cell r="AD36">
            <v>0</v>
          </cell>
          <cell r="AE36">
            <v>0</v>
          </cell>
          <cell r="AG36">
            <v>0</v>
          </cell>
        </row>
        <row r="37">
          <cell r="F37">
            <v>2035</v>
          </cell>
          <cell r="K37">
            <v>0</v>
          </cell>
          <cell r="L37" t="str">
            <v/>
          </cell>
          <cell r="O37" t="str">
            <v/>
          </cell>
          <cell r="P37" t="str">
            <v/>
          </cell>
          <cell r="Q37" t="str">
            <v/>
          </cell>
          <cell r="Y37">
            <v>0</v>
          </cell>
          <cell r="Z37">
            <v>0</v>
          </cell>
          <cell r="AA37">
            <v>0</v>
          </cell>
          <cell r="AB37">
            <v>0</v>
          </cell>
          <cell r="AC37">
            <v>0</v>
          </cell>
          <cell r="AD37">
            <v>0</v>
          </cell>
          <cell r="AE37">
            <v>0</v>
          </cell>
          <cell r="AG37">
            <v>0</v>
          </cell>
        </row>
        <row r="38">
          <cell r="F38">
            <v>2036</v>
          </cell>
          <cell r="K38">
            <v>0</v>
          </cell>
          <cell r="L38" t="str">
            <v/>
          </cell>
          <cell r="N38" t="str">
            <v>Matthew</v>
          </cell>
          <cell r="O38">
            <v>3</v>
          </cell>
          <cell r="P38">
            <v>1071</v>
          </cell>
          <cell r="Y38">
            <v>0</v>
          </cell>
          <cell r="Z38">
            <v>0</v>
          </cell>
          <cell r="AA38">
            <v>0</v>
          </cell>
          <cell r="AB38">
            <v>0</v>
          </cell>
          <cell r="AC38">
            <v>0</v>
          </cell>
          <cell r="AD38">
            <v>0</v>
          </cell>
          <cell r="AE38">
            <v>0</v>
          </cell>
          <cell r="AG38">
            <v>0</v>
          </cell>
        </row>
        <row r="39">
          <cell r="L39">
            <v>3824.8749999999995</v>
          </cell>
          <cell r="Q39">
            <v>678</v>
          </cell>
          <cell r="R39">
            <v>2016</v>
          </cell>
          <cell r="S39">
            <v>2016</v>
          </cell>
          <cell r="T39">
            <v>2016</v>
          </cell>
          <cell r="U39">
            <v>2016</v>
          </cell>
          <cell r="V39">
            <v>2016</v>
          </cell>
          <cell r="W39">
            <v>2017</v>
          </cell>
        </row>
        <row r="40">
          <cell r="K40">
            <v>43703.224999999999</v>
          </cell>
          <cell r="Q40">
            <v>1151</v>
          </cell>
          <cell r="R40">
            <v>2017</v>
          </cell>
          <cell r="S40">
            <v>2017</v>
          </cell>
          <cell r="T40">
            <v>2018</v>
          </cell>
          <cell r="U40">
            <v>2018</v>
          </cell>
          <cell r="V40">
            <v>2018</v>
          </cell>
          <cell r="W40">
            <v>2019</v>
          </cell>
        </row>
        <row r="41">
          <cell r="Q41">
            <v>879</v>
          </cell>
          <cell r="R41">
            <v>2018</v>
          </cell>
          <cell r="S41">
            <v>2018</v>
          </cell>
          <cell r="T41">
            <v>2019</v>
          </cell>
          <cell r="U41">
            <v>2019</v>
          </cell>
          <cell r="V41">
            <v>2019</v>
          </cell>
        </row>
        <row r="42">
          <cell r="Q42">
            <v>1007</v>
          </cell>
          <cell r="R42">
            <v>2016</v>
          </cell>
          <cell r="S42">
            <v>2016</v>
          </cell>
          <cell r="T42">
            <v>2017</v>
          </cell>
          <cell r="U42">
            <v>2017</v>
          </cell>
          <cell r="V42">
            <v>2017</v>
          </cell>
          <cell r="W42">
            <v>2018</v>
          </cell>
        </row>
        <row r="43">
          <cell r="D43">
            <v>2017</v>
          </cell>
        </row>
        <row r="44">
          <cell r="D44">
            <v>2019</v>
          </cell>
        </row>
        <row r="65">
          <cell r="N65">
            <v>0</v>
          </cell>
          <cell r="Q65">
            <v>0</v>
          </cell>
        </row>
        <row r="66">
          <cell r="N66">
            <v>0</v>
          </cell>
          <cell r="Q66">
            <v>0</v>
          </cell>
        </row>
        <row r="67">
          <cell r="N67">
            <v>0</v>
          </cell>
          <cell r="Q67">
            <v>0</v>
          </cell>
        </row>
        <row r="68">
          <cell r="N68">
            <v>0</v>
          </cell>
          <cell r="Q68">
            <v>0</v>
          </cell>
        </row>
        <row r="69">
          <cell r="N69">
            <v>0</v>
          </cell>
          <cell r="Q69">
            <v>0</v>
          </cell>
        </row>
        <row r="70">
          <cell r="N70">
            <v>0</v>
          </cell>
          <cell r="Q70">
            <v>0</v>
          </cell>
        </row>
        <row r="71">
          <cell r="N71">
            <v>0</v>
          </cell>
          <cell r="Q71">
            <v>0</v>
          </cell>
        </row>
        <row r="72">
          <cell r="N72">
            <v>0</v>
          </cell>
          <cell r="Q72">
            <v>0</v>
          </cell>
        </row>
        <row r="73">
          <cell r="N73">
            <v>0</v>
          </cell>
          <cell r="Q73">
            <v>0</v>
          </cell>
        </row>
        <row r="74">
          <cell r="N74">
            <v>0</v>
          </cell>
          <cell r="Q74">
            <v>0</v>
          </cell>
        </row>
        <row r="75">
          <cell r="N75">
            <v>0</v>
          </cell>
          <cell r="Q75">
            <v>0</v>
          </cell>
        </row>
        <row r="76">
          <cell r="N76">
            <v>0</v>
          </cell>
          <cell r="Q76">
            <v>0</v>
          </cell>
        </row>
        <row r="77">
          <cell r="N77">
            <v>0</v>
          </cell>
          <cell r="Q77">
            <v>0</v>
          </cell>
        </row>
        <row r="78">
          <cell r="N78">
            <v>0</v>
          </cell>
          <cell r="Q78">
            <v>0</v>
          </cell>
        </row>
        <row r="79">
          <cell r="N79">
            <v>0</v>
          </cell>
          <cell r="Q79">
            <v>0</v>
          </cell>
        </row>
        <row r="80">
          <cell r="N80">
            <v>0</v>
          </cell>
          <cell r="Q80">
            <v>0</v>
          </cell>
        </row>
        <row r="81">
          <cell r="N81">
            <v>0</v>
          </cell>
          <cell r="Q81">
            <v>0</v>
          </cell>
        </row>
        <row r="82">
          <cell r="N82">
            <v>0</v>
          </cell>
          <cell r="Q82">
            <v>0</v>
          </cell>
        </row>
        <row r="83">
          <cell r="N83">
            <v>0</v>
          </cell>
          <cell r="Q83">
            <v>0</v>
          </cell>
        </row>
        <row r="84">
          <cell r="N84">
            <v>0</v>
          </cell>
          <cell r="Q84">
            <v>0</v>
          </cell>
        </row>
        <row r="85">
          <cell r="N85">
            <v>0</v>
          </cell>
          <cell r="Q85">
            <v>0</v>
          </cell>
        </row>
        <row r="86">
          <cell r="N86">
            <v>0</v>
          </cell>
          <cell r="Q86">
            <v>0</v>
          </cell>
        </row>
        <row r="87">
          <cell r="N87">
            <v>0</v>
          </cell>
          <cell r="Q87">
            <v>0</v>
          </cell>
        </row>
        <row r="88">
          <cell r="N88">
            <v>0</v>
          </cell>
          <cell r="Q88">
            <v>0</v>
          </cell>
        </row>
        <row r="93">
          <cell r="N93" t="str">
            <v>Audio Recording one selection</v>
          </cell>
          <cell r="W93">
            <v>2017</v>
          </cell>
        </row>
        <row r="94">
          <cell r="N94" t="str">
            <v>Scripture In Use Training</v>
          </cell>
          <cell r="W94">
            <v>2018</v>
          </cell>
        </row>
        <row r="95">
          <cell r="N95" t="str">
            <v>Literacy Review &amp; Planning</v>
          </cell>
          <cell r="W95">
            <v>2018</v>
          </cell>
        </row>
        <row r="96">
          <cell r="N96" t="str">
            <v>Audio Recording one selection</v>
          </cell>
          <cell r="W96">
            <v>2018</v>
          </cell>
        </row>
        <row r="98">
          <cell r="N98" t="str">
            <v>Audio Recording one selection</v>
          </cell>
          <cell r="W98">
            <v>2019</v>
          </cell>
        </row>
        <row r="99">
          <cell r="N99" t="str">
            <v>Recording of Jesus Film</v>
          </cell>
          <cell r="W99">
            <v>2019</v>
          </cell>
        </row>
      </sheetData>
      <sheetData sheetId="1">
        <row r="17">
          <cell r="AR17">
            <v>3934.75</v>
          </cell>
        </row>
        <row r="18">
          <cell r="AS18">
            <v>0.93584249316983281</v>
          </cell>
        </row>
        <row r="26">
          <cell r="BH26">
            <v>2017</v>
          </cell>
        </row>
        <row r="40">
          <cell r="AF40">
            <v>43703.224999999999</v>
          </cell>
          <cell r="AG40" t="str">
            <v>Calculated Year of Completion</v>
          </cell>
        </row>
        <row r="41">
          <cell r="AF41">
            <v>43907.927842677323</v>
          </cell>
          <cell r="AG41" t="str">
            <v>Projected Year of Completion</v>
          </cell>
        </row>
      </sheetData>
      <sheetData sheetId="2"/>
      <sheetData sheetId="3"/>
      <sheetData sheetId="4">
        <row r="22">
          <cell r="U22">
            <v>3715</v>
          </cell>
        </row>
        <row r="23">
          <cell r="K23">
            <v>0</v>
          </cell>
          <cell r="L23">
            <v>0</v>
          </cell>
          <cell r="M23">
            <v>0</v>
          </cell>
          <cell r="N23">
            <v>0</v>
          </cell>
          <cell r="O23">
            <v>0</v>
          </cell>
          <cell r="S23" t="str">
            <v/>
          </cell>
          <cell r="T23">
            <v>1</v>
          </cell>
          <cell r="W23">
            <v>0</v>
          </cell>
        </row>
        <row r="24">
          <cell r="K24">
            <v>0</v>
          </cell>
          <cell r="L24">
            <v>0</v>
          </cell>
          <cell r="M24">
            <v>0</v>
          </cell>
          <cell r="N24">
            <v>0</v>
          </cell>
          <cell r="O24">
            <v>0</v>
          </cell>
          <cell r="S24" t="str">
            <v/>
          </cell>
          <cell r="T24">
            <v>1</v>
          </cell>
          <cell r="W24">
            <v>0</v>
          </cell>
        </row>
        <row r="25">
          <cell r="K25">
            <v>0</v>
          </cell>
          <cell r="L25">
            <v>0</v>
          </cell>
          <cell r="M25">
            <v>0</v>
          </cell>
          <cell r="N25">
            <v>0</v>
          </cell>
          <cell r="O25">
            <v>0</v>
          </cell>
          <cell r="S25" t="str">
            <v/>
          </cell>
          <cell r="T25">
            <v>1</v>
          </cell>
          <cell r="W25">
            <v>0</v>
          </cell>
        </row>
        <row r="26">
          <cell r="K26">
            <v>0</v>
          </cell>
          <cell r="L26">
            <v>0</v>
          </cell>
          <cell r="M26">
            <v>0</v>
          </cell>
          <cell r="N26">
            <v>0</v>
          </cell>
          <cell r="O26">
            <v>0</v>
          </cell>
          <cell r="S26" t="str">
            <v/>
          </cell>
          <cell r="T26">
            <v>1</v>
          </cell>
          <cell r="W26">
            <v>0</v>
          </cell>
        </row>
        <row r="27">
          <cell r="K27">
            <v>0</v>
          </cell>
          <cell r="L27">
            <v>0</v>
          </cell>
          <cell r="M27">
            <v>0</v>
          </cell>
          <cell r="N27">
            <v>0</v>
          </cell>
          <cell r="O27">
            <v>0</v>
          </cell>
          <cell r="S27" t="str">
            <v/>
          </cell>
          <cell r="T27">
            <v>1</v>
          </cell>
          <cell r="W27">
            <v>0</v>
          </cell>
        </row>
        <row r="28">
          <cell r="K28">
            <v>0</v>
          </cell>
          <cell r="L28">
            <v>0</v>
          </cell>
          <cell r="M28">
            <v>0</v>
          </cell>
          <cell r="N28">
            <v>0</v>
          </cell>
          <cell r="O28">
            <v>0</v>
          </cell>
          <cell r="S28" t="str">
            <v/>
          </cell>
          <cell r="T28">
            <v>1</v>
          </cell>
          <cell r="W28">
            <v>0</v>
          </cell>
        </row>
        <row r="29">
          <cell r="K29">
            <v>0</v>
          </cell>
          <cell r="L29">
            <v>0</v>
          </cell>
          <cell r="M29">
            <v>0</v>
          </cell>
          <cell r="N29">
            <v>0</v>
          </cell>
          <cell r="O29">
            <v>0</v>
          </cell>
          <cell r="S29" t="str">
            <v/>
          </cell>
          <cell r="T29">
            <v>1</v>
          </cell>
          <cell r="W29">
            <v>0</v>
          </cell>
        </row>
        <row r="30">
          <cell r="K30">
            <v>0</v>
          </cell>
          <cell r="L30">
            <v>0</v>
          </cell>
          <cell r="M30">
            <v>0</v>
          </cell>
          <cell r="N30">
            <v>0</v>
          </cell>
          <cell r="O30">
            <v>0</v>
          </cell>
          <cell r="S30" t="str">
            <v/>
          </cell>
          <cell r="T30">
            <v>1</v>
          </cell>
          <cell r="W30">
            <v>0</v>
          </cell>
          <cell r="AG30" t="str">
            <v>Q1</v>
          </cell>
        </row>
        <row r="31">
          <cell r="K31">
            <v>0</v>
          </cell>
          <cell r="L31">
            <v>0</v>
          </cell>
          <cell r="M31">
            <v>0</v>
          </cell>
          <cell r="N31">
            <v>0</v>
          </cell>
          <cell r="O31">
            <v>0</v>
          </cell>
          <cell r="S31" t="str">
            <v/>
          </cell>
          <cell r="T31">
            <v>1</v>
          </cell>
          <cell r="W31">
            <v>0</v>
          </cell>
          <cell r="AG31" t="str">
            <v>Q2</v>
          </cell>
          <cell r="AH31" t="str">
            <v>Prev. Years</v>
          </cell>
        </row>
        <row r="32">
          <cell r="K32">
            <v>0</v>
          </cell>
          <cell r="L32">
            <v>0</v>
          </cell>
          <cell r="M32">
            <v>0</v>
          </cell>
          <cell r="N32">
            <v>0</v>
          </cell>
          <cell r="O32">
            <v>0</v>
          </cell>
          <cell r="S32" t="str">
            <v/>
          </cell>
          <cell r="T32">
            <v>1</v>
          </cell>
          <cell r="W32">
            <v>0</v>
          </cell>
          <cell r="AG32" t="str">
            <v>Q3</v>
          </cell>
          <cell r="AH32">
            <v>2017</v>
          </cell>
          <cell r="AI32">
            <v>1</v>
          </cell>
          <cell r="AJ32">
            <v>15</v>
          </cell>
        </row>
        <row r="33">
          <cell r="K33">
            <v>0</v>
          </cell>
          <cell r="L33">
            <v>0</v>
          </cell>
          <cell r="M33">
            <v>0</v>
          </cell>
          <cell r="N33">
            <v>0</v>
          </cell>
          <cell r="O33">
            <v>0</v>
          </cell>
          <cell r="S33" t="str">
            <v/>
          </cell>
          <cell r="T33">
            <v>1</v>
          </cell>
          <cell r="W33">
            <v>0</v>
          </cell>
          <cell r="AG33" t="str">
            <v>Q4</v>
          </cell>
          <cell r="AH33">
            <v>2018</v>
          </cell>
          <cell r="AI33">
            <v>2</v>
          </cell>
          <cell r="AJ33">
            <v>18</v>
          </cell>
        </row>
        <row r="34">
          <cell r="K34">
            <v>0</v>
          </cell>
          <cell r="L34">
            <v>0</v>
          </cell>
          <cell r="M34">
            <v>0</v>
          </cell>
          <cell r="N34">
            <v>0</v>
          </cell>
          <cell r="O34">
            <v>0</v>
          </cell>
          <cell r="S34" t="str">
            <v/>
          </cell>
          <cell r="T34">
            <v>1</v>
          </cell>
          <cell r="W34">
            <v>0</v>
          </cell>
          <cell r="AG34">
            <v>0.25</v>
          </cell>
          <cell r="AH34">
            <v>2019</v>
          </cell>
          <cell r="AI34">
            <v>3</v>
          </cell>
          <cell r="AJ34">
            <v>18</v>
          </cell>
        </row>
        <row r="35">
          <cell r="K35">
            <v>0</v>
          </cell>
          <cell r="L35">
            <v>0</v>
          </cell>
          <cell r="M35">
            <v>0</v>
          </cell>
          <cell r="N35">
            <v>0</v>
          </cell>
          <cell r="O35">
            <v>0</v>
          </cell>
          <cell r="S35" t="str">
            <v/>
          </cell>
          <cell r="T35">
            <v>1</v>
          </cell>
          <cell r="W35">
            <v>0</v>
          </cell>
          <cell r="AG35">
            <v>0.5</v>
          </cell>
          <cell r="AH35" t="str">
            <v/>
          </cell>
          <cell r="AI35">
            <v>4</v>
          </cell>
          <cell r="AJ35">
            <v>0</v>
          </cell>
        </row>
        <row r="36">
          <cell r="K36">
            <v>0</v>
          </cell>
          <cell r="L36">
            <v>0</v>
          </cell>
          <cell r="M36">
            <v>0</v>
          </cell>
          <cell r="N36">
            <v>0</v>
          </cell>
          <cell r="O36">
            <v>0</v>
          </cell>
          <cell r="S36" t="str">
            <v/>
          </cell>
          <cell r="T36">
            <v>1</v>
          </cell>
          <cell r="W36">
            <v>0</v>
          </cell>
          <cell r="AG36">
            <v>0.75</v>
          </cell>
          <cell r="AH36" t="str">
            <v/>
          </cell>
          <cell r="AI36">
            <v>5</v>
          </cell>
          <cell r="AJ36">
            <v>0</v>
          </cell>
        </row>
        <row r="37">
          <cell r="K37">
            <v>0</v>
          </cell>
          <cell r="L37">
            <v>0</v>
          </cell>
          <cell r="M37">
            <v>0</v>
          </cell>
          <cell r="N37">
            <v>0</v>
          </cell>
          <cell r="O37">
            <v>0</v>
          </cell>
          <cell r="S37" t="str">
            <v/>
          </cell>
          <cell r="T37">
            <v>1</v>
          </cell>
          <cell r="W37">
            <v>0</v>
          </cell>
          <cell r="AH37" t="str">
            <v/>
          </cell>
          <cell r="AI37">
            <v>6</v>
          </cell>
          <cell r="AJ37">
            <v>0</v>
          </cell>
        </row>
        <row r="38">
          <cell r="K38">
            <v>0</v>
          </cell>
          <cell r="L38">
            <v>0</v>
          </cell>
          <cell r="M38">
            <v>0</v>
          </cell>
          <cell r="N38">
            <v>0</v>
          </cell>
          <cell r="O38">
            <v>0</v>
          </cell>
          <cell r="R38" t="str">
            <v>Matthew</v>
          </cell>
          <cell r="S38">
            <v>1071</v>
          </cell>
          <cell r="T38">
            <v>3</v>
          </cell>
          <cell r="W38">
            <v>0</v>
          </cell>
          <cell r="AH38" t="str">
            <v/>
          </cell>
          <cell r="AI38">
            <v>7</v>
          </cell>
          <cell r="AJ38">
            <v>0</v>
          </cell>
        </row>
        <row r="39">
          <cell r="K39">
            <v>2016</v>
          </cell>
          <cell r="L39" t="str">
            <v>Q4</v>
          </cell>
          <cell r="M39">
            <v>2016</v>
          </cell>
          <cell r="N39">
            <v>6.8924328102166588E-2</v>
          </cell>
          <cell r="O39">
            <v>6.8924328102166588E-2</v>
          </cell>
          <cell r="R39" t="str">
            <v>Mark</v>
          </cell>
          <cell r="S39">
            <v>678</v>
          </cell>
          <cell r="T39">
            <v>3</v>
          </cell>
          <cell r="W39">
            <v>678</v>
          </cell>
          <cell r="AH39" t="str">
            <v/>
          </cell>
          <cell r="AI39">
            <v>8</v>
          </cell>
          <cell r="AJ39">
            <v>0</v>
          </cell>
        </row>
        <row r="40">
          <cell r="K40">
            <v>2017</v>
          </cell>
          <cell r="L40" t="str">
            <v>Q2</v>
          </cell>
          <cell r="M40">
            <v>2017</v>
          </cell>
          <cell r="N40">
            <v>0.11700870449202619</v>
          </cell>
          <cell r="O40">
            <v>0.11700870449202619</v>
          </cell>
          <cell r="R40" t="str">
            <v>Luke</v>
          </cell>
          <cell r="S40">
            <v>1151</v>
          </cell>
          <cell r="T40">
            <v>3</v>
          </cell>
          <cell r="W40">
            <v>1151</v>
          </cell>
          <cell r="AH40" t="str">
            <v/>
          </cell>
          <cell r="AI40">
            <v>9</v>
          </cell>
          <cell r="AJ40">
            <v>0</v>
          </cell>
        </row>
        <row r="41">
          <cell r="K41">
            <v>2018</v>
          </cell>
          <cell r="L41" t="str">
            <v>Q2</v>
          </cell>
          <cell r="M41">
            <v>2018</v>
          </cell>
          <cell r="N41">
            <v>0.11169705826291379</v>
          </cell>
          <cell r="O41">
            <v>0.11169705826291379</v>
          </cell>
          <cell r="R41" t="str">
            <v>John</v>
          </cell>
          <cell r="S41">
            <v>879</v>
          </cell>
          <cell r="T41">
            <v>4</v>
          </cell>
          <cell r="W41">
            <v>1098.75</v>
          </cell>
          <cell r="AH41" t="str">
            <v/>
          </cell>
          <cell r="AI41">
            <v>10</v>
          </cell>
          <cell r="AJ41">
            <v>0</v>
          </cell>
        </row>
        <row r="42">
          <cell r="K42">
            <v>2016</v>
          </cell>
          <cell r="L42" t="str">
            <v>Q4</v>
          </cell>
          <cell r="M42">
            <v>2016</v>
          </cell>
          <cell r="N42">
            <v>0.10236990914289346</v>
          </cell>
          <cell r="O42">
            <v>0.10236990914289346</v>
          </cell>
          <cell r="R42" t="str">
            <v>Acts</v>
          </cell>
          <cell r="S42">
            <v>1007</v>
          </cell>
          <cell r="T42">
            <v>3</v>
          </cell>
          <cell r="W42">
            <v>1007</v>
          </cell>
          <cell r="AH42" t="str">
            <v/>
          </cell>
          <cell r="AI42">
            <v>11</v>
          </cell>
          <cell r="AJ42">
            <v>0</v>
          </cell>
        </row>
        <row r="43">
          <cell r="K43">
            <v>0</v>
          </cell>
          <cell r="L43">
            <v>0</v>
          </cell>
          <cell r="M43">
            <v>0</v>
          </cell>
          <cell r="N43">
            <v>0</v>
          </cell>
          <cell r="O43">
            <v>0</v>
          </cell>
          <cell r="R43" t="str">
            <v>Romans</v>
          </cell>
          <cell r="S43">
            <v>433</v>
          </cell>
          <cell r="T43">
            <v>5</v>
          </cell>
          <cell r="W43">
            <v>0</v>
          </cell>
          <cell r="AH43" t="str">
            <v/>
          </cell>
          <cell r="AI43">
            <v>12</v>
          </cell>
          <cell r="AJ43">
            <v>0</v>
          </cell>
        </row>
        <row r="44">
          <cell r="K44">
            <v>0</v>
          </cell>
          <cell r="L44">
            <v>0</v>
          </cell>
          <cell r="M44">
            <v>0</v>
          </cell>
          <cell r="N44">
            <v>0</v>
          </cell>
          <cell r="O44">
            <v>0</v>
          </cell>
          <cell r="R44" t="str">
            <v>I Corinthians</v>
          </cell>
          <cell r="S44">
            <v>437</v>
          </cell>
          <cell r="T44">
            <v>4</v>
          </cell>
          <cell r="W44">
            <v>0</v>
          </cell>
          <cell r="AH44" t="str">
            <v/>
          </cell>
          <cell r="AI44">
            <v>13</v>
          </cell>
          <cell r="AJ44">
            <v>0</v>
          </cell>
        </row>
        <row r="45">
          <cell r="K45">
            <v>0</v>
          </cell>
          <cell r="L45">
            <v>0</v>
          </cell>
          <cell r="M45">
            <v>0</v>
          </cell>
          <cell r="N45">
            <v>0</v>
          </cell>
          <cell r="O45">
            <v>0</v>
          </cell>
          <cell r="R45" t="str">
            <v>2 Corinthians</v>
          </cell>
          <cell r="S45">
            <v>257</v>
          </cell>
          <cell r="T45">
            <v>4</v>
          </cell>
          <cell r="W45">
            <v>0</v>
          </cell>
          <cell r="AH45" t="str">
            <v/>
          </cell>
          <cell r="AI45">
            <v>14</v>
          </cell>
          <cell r="AJ45">
            <v>0</v>
          </cell>
        </row>
        <row r="46">
          <cell r="K46">
            <v>0</v>
          </cell>
          <cell r="L46">
            <v>0</v>
          </cell>
          <cell r="M46">
            <v>0</v>
          </cell>
          <cell r="N46">
            <v>0</v>
          </cell>
          <cell r="O46">
            <v>0</v>
          </cell>
          <cell r="R46" t="str">
            <v>Galatians</v>
          </cell>
          <cell r="S46">
            <v>149</v>
          </cell>
          <cell r="T46">
            <v>5</v>
          </cell>
          <cell r="W46">
            <v>0</v>
          </cell>
          <cell r="AH46" t="str">
            <v/>
          </cell>
          <cell r="AI46">
            <v>15</v>
          </cell>
          <cell r="AJ46">
            <v>0</v>
          </cell>
        </row>
        <row r="47">
          <cell r="K47">
            <v>0</v>
          </cell>
          <cell r="L47">
            <v>0</v>
          </cell>
          <cell r="M47">
            <v>0</v>
          </cell>
          <cell r="N47">
            <v>0</v>
          </cell>
          <cell r="O47">
            <v>0</v>
          </cell>
          <cell r="R47" t="str">
            <v>Ephesians</v>
          </cell>
          <cell r="S47">
            <v>155</v>
          </cell>
          <cell r="T47">
            <v>5</v>
          </cell>
          <cell r="W47">
            <v>0</v>
          </cell>
          <cell r="AH47" t="str">
            <v/>
          </cell>
          <cell r="AI47">
            <v>16</v>
          </cell>
          <cell r="AJ47">
            <v>0</v>
          </cell>
        </row>
        <row r="48">
          <cell r="K48">
            <v>0</v>
          </cell>
          <cell r="L48">
            <v>0</v>
          </cell>
          <cell r="M48">
            <v>0</v>
          </cell>
          <cell r="N48">
            <v>0</v>
          </cell>
          <cell r="O48">
            <v>0</v>
          </cell>
          <cell r="R48" t="str">
            <v>Philippians</v>
          </cell>
          <cell r="S48">
            <v>104</v>
          </cell>
          <cell r="T48">
            <v>5</v>
          </cell>
          <cell r="W48">
            <v>0</v>
          </cell>
          <cell r="AH48" t="str">
            <v/>
          </cell>
          <cell r="AI48">
            <v>17</v>
          </cell>
          <cell r="AJ48">
            <v>0</v>
          </cell>
        </row>
        <row r="49">
          <cell r="K49">
            <v>0</v>
          </cell>
          <cell r="L49">
            <v>0</v>
          </cell>
          <cell r="M49">
            <v>0</v>
          </cell>
          <cell r="N49">
            <v>0</v>
          </cell>
          <cell r="O49">
            <v>0</v>
          </cell>
          <cell r="R49" t="str">
            <v>Colossians</v>
          </cell>
          <cell r="S49">
            <v>95</v>
          </cell>
          <cell r="T49">
            <v>5</v>
          </cell>
          <cell r="W49">
            <v>0</v>
          </cell>
          <cell r="AH49" t="str">
            <v/>
          </cell>
          <cell r="AI49">
            <v>18</v>
          </cell>
          <cell r="AJ49">
            <v>0</v>
          </cell>
        </row>
        <row r="50">
          <cell r="K50">
            <v>0</v>
          </cell>
          <cell r="L50" t="str">
            <v>Q1</v>
          </cell>
          <cell r="M50">
            <v>2019</v>
          </cell>
          <cell r="N50">
            <v>0</v>
          </cell>
          <cell r="O50">
            <v>0</v>
          </cell>
          <cell r="R50" t="str">
            <v>1 Thessalonians</v>
          </cell>
          <cell r="S50">
            <v>89</v>
          </cell>
          <cell r="T50">
            <v>4</v>
          </cell>
          <cell r="W50">
            <v>0</v>
          </cell>
          <cell r="AH50" t="str">
            <v/>
          </cell>
          <cell r="AI50">
            <v>19</v>
          </cell>
          <cell r="AJ50">
            <v>0</v>
          </cell>
        </row>
        <row r="51">
          <cell r="K51">
            <v>0</v>
          </cell>
          <cell r="L51" t="str">
            <v>Q2</v>
          </cell>
          <cell r="M51">
            <v>2019</v>
          </cell>
          <cell r="N51">
            <v>0</v>
          </cell>
          <cell r="O51">
            <v>0</v>
          </cell>
          <cell r="R51" t="str">
            <v>2 Thessalonians</v>
          </cell>
          <cell r="S51">
            <v>47</v>
          </cell>
          <cell r="T51">
            <v>4</v>
          </cell>
          <cell r="W51">
            <v>0</v>
          </cell>
          <cell r="AH51" t="str">
            <v/>
          </cell>
          <cell r="AI51">
            <v>20</v>
          </cell>
          <cell r="AJ51">
            <v>0</v>
          </cell>
        </row>
        <row r="52">
          <cell r="K52">
            <v>0</v>
          </cell>
          <cell r="L52" t="str">
            <v>Q3</v>
          </cell>
          <cell r="M52">
            <v>2019</v>
          </cell>
          <cell r="N52">
            <v>0</v>
          </cell>
          <cell r="O52">
            <v>0</v>
          </cell>
          <cell r="R52" t="str">
            <v>1 Timothy</v>
          </cell>
          <cell r="S52">
            <v>113</v>
          </cell>
          <cell r="T52">
            <v>3</v>
          </cell>
          <cell r="W52">
            <v>0</v>
          </cell>
          <cell r="AH52" t="str">
            <v/>
          </cell>
        </row>
        <row r="53">
          <cell r="K53">
            <v>0</v>
          </cell>
          <cell r="L53" t="str">
            <v>Q3</v>
          </cell>
          <cell r="M53">
            <v>2019</v>
          </cell>
          <cell r="N53">
            <v>0</v>
          </cell>
          <cell r="O53">
            <v>0</v>
          </cell>
          <cell r="R53" t="str">
            <v>2 Timothy</v>
          </cell>
          <cell r="S53">
            <v>83</v>
          </cell>
          <cell r="T53">
            <v>3</v>
          </cell>
          <cell r="W53">
            <v>0</v>
          </cell>
        </row>
        <row r="54">
          <cell r="K54">
            <v>0</v>
          </cell>
          <cell r="L54" t="str">
            <v>Q4</v>
          </cell>
          <cell r="M54">
            <v>2019</v>
          </cell>
          <cell r="N54">
            <v>0</v>
          </cell>
          <cell r="O54">
            <v>0</v>
          </cell>
          <cell r="R54" t="str">
            <v>Titus</v>
          </cell>
          <cell r="S54">
            <v>46</v>
          </cell>
          <cell r="T54">
            <v>3</v>
          </cell>
          <cell r="W54">
            <v>0</v>
          </cell>
        </row>
        <row r="55">
          <cell r="K55">
            <v>0</v>
          </cell>
          <cell r="L55" t="str">
            <v>Q4</v>
          </cell>
          <cell r="M55">
            <v>2019</v>
          </cell>
          <cell r="N55">
            <v>0</v>
          </cell>
          <cell r="O55">
            <v>0</v>
          </cell>
          <cell r="R55" t="str">
            <v>Philemon</v>
          </cell>
          <cell r="S55">
            <v>25</v>
          </cell>
          <cell r="T55">
            <v>3</v>
          </cell>
          <cell r="W55">
            <v>0</v>
          </cell>
        </row>
        <row r="56">
          <cell r="K56">
            <v>0</v>
          </cell>
          <cell r="L56">
            <v>0</v>
          </cell>
          <cell r="M56">
            <v>0</v>
          </cell>
          <cell r="N56">
            <v>0</v>
          </cell>
          <cell r="O56">
            <v>0</v>
          </cell>
          <cell r="R56" t="str">
            <v>Hebrews</v>
          </cell>
          <cell r="S56">
            <v>303</v>
          </cell>
          <cell r="T56">
            <v>5</v>
          </cell>
          <cell r="W56">
            <v>0</v>
          </cell>
        </row>
        <row r="57">
          <cell r="K57">
            <v>0</v>
          </cell>
          <cell r="L57" t="str">
            <v>Q3</v>
          </cell>
          <cell r="M57">
            <v>2018</v>
          </cell>
          <cell r="N57">
            <v>0</v>
          </cell>
          <cell r="O57">
            <v>0</v>
          </cell>
          <cell r="R57" t="str">
            <v>James</v>
          </cell>
          <cell r="S57">
            <v>108</v>
          </cell>
          <cell r="T57">
            <v>3</v>
          </cell>
          <cell r="W57">
            <v>0</v>
          </cell>
        </row>
        <row r="58">
          <cell r="K58">
            <v>0</v>
          </cell>
          <cell r="L58">
            <v>0</v>
          </cell>
          <cell r="M58">
            <v>0</v>
          </cell>
          <cell r="N58">
            <v>0</v>
          </cell>
          <cell r="O58">
            <v>0</v>
          </cell>
          <cell r="R58" t="str">
            <v>1 Peter</v>
          </cell>
          <cell r="S58">
            <v>105</v>
          </cell>
          <cell r="T58">
            <v>4</v>
          </cell>
          <cell r="W58">
            <v>0</v>
          </cell>
        </row>
        <row r="59">
          <cell r="K59">
            <v>0</v>
          </cell>
          <cell r="L59">
            <v>0</v>
          </cell>
          <cell r="M59">
            <v>0</v>
          </cell>
          <cell r="N59">
            <v>0</v>
          </cell>
          <cell r="O59">
            <v>0</v>
          </cell>
          <cell r="R59" t="str">
            <v>2 Peter</v>
          </cell>
          <cell r="S59">
            <v>61</v>
          </cell>
          <cell r="T59">
            <v>4</v>
          </cell>
          <cell r="W59">
            <v>0</v>
          </cell>
        </row>
        <row r="60">
          <cell r="K60">
            <v>0</v>
          </cell>
          <cell r="L60">
            <v>0.25</v>
          </cell>
          <cell r="M60">
            <v>2019</v>
          </cell>
          <cell r="N60">
            <v>0</v>
          </cell>
          <cell r="O60">
            <v>0</v>
          </cell>
          <cell r="R60" t="str">
            <v>1 John</v>
          </cell>
          <cell r="S60">
            <v>105</v>
          </cell>
          <cell r="T60">
            <v>4</v>
          </cell>
          <cell r="W60">
            <v>0</v>
          </cell>
        </row>
        <row r="61">
          <cell r="K61">
            <v>0</v>
          </cell>
          <cell r="L61">
            <v>0</v>
          </cell>
          <cell r="M61">
            <v>0</v>
          </cell>
          <cell r="N61">
            <v>0</v>
          </cell>
          <cell r="O61">
            <v>0</v>
          </cell>
          <cell r="R61" t="str">
            <v>2 John</v>
          </cell>
          <cell r="S61">
            <v>13</v>
          </cell>
          <cell r="T61">
            <v>3</v>
          </cell>
          <cell r="W61">
            <v>0</v>
          </cell>
        </row>
        <row r="62">
          <cell r="K62">
            <v>0</v>
          </cell>
          <cell r="L62">
            <v>0</v>
          </cell>
          <cell r="M62">
            <v>0</v>
          </cell>
          <cell r="N62">
            <v>0</v>
          </cell>
          <cell r="O62">
            <v>0</v>
          </cell>
          <cell r="R62" t="str">
            <v>3 John</v>
          </cell>
          <cell r="S62">
            <v>14</v>
          </cell>
          <cell r="T62">
            <v>3</v>
          </cell>
          <cell r="W62">
            <v>0</v>
          </cell>
        </row>
        <row r="63">
          <cell r="K63">
            <v>0</v>
          </cell>
          <cell r="L63">
            <v>0</v>
          </cell>
          <cell r="M63">
            <v>0</v>
          </cell>
          <cell r="N63">
            <v>0</v>
          </cell>
          <cell r="O63">
            <v>0</v>
          </cell>
          <cell r="R63" t="str">
            <v>Jude</v>
          </cell>
          <cell r="S63">
            <v>25</v>
          </cell>
          <cell r="T63">
            <v>3</v>
          </cell>
          <cell r="W63">
            <v>0</v>
          </cell>
        </row>
        <row r="64">
          <cell r="K64">
            <v>0</v>
          </cell>
          <cell r="L64">
            <v>0</v>
          </cell>
          <cell r="M64">
            <v>0</v>
          </cell>
          <cell r="N64">
            <v>0</v>
          </cell>
          <cell r="O64">
            <v>0</v>
          </cell>
          <cell r="R64" t="str">
            <v>Revelation</v>
          </cell>
          <cell r="S64">
            <v>404</v>
          </cell>
          <cell r="T64">
            <v>3</v>
          </cell>
          <cell r="W64">
            <v>0</v>
          </cell>
        </row>
        <row r="65">
          <cell r="K65">
            <v>0</v>
          </cell>
          <cell r="L65">
            <v>0</v>
          </cell>
          <cell r="M65">
            <v>0</v>
          </cell>
          <cell r="N65">
            <v>0</v>
          </cell>
          <cell r="O65">
            <v>0</v>
          </cell>
          <cell r="T65">
            <v>1</v>
          </cell>
          <cell r="W65">
            <v>0</v>
          </cell>
        </row>
        <row r="66">
          <cell r="K66">
            <v>0</v>
          </cell>
          <cell r="L66">
            <v>0</v>
          </cell>
          <cell r="M66">
            <v>0</v>
          </cell>
          <cell r="N66">
            <v>0</v>
          </cell>
          <cell r="O66">
            <v>0</v>
          </cell>
          <cell r="T66">
            <v>1</v>
          </cell>
          <cell r="W66">
            <v>0</v>
          </cell>
        </row>
        <row r="67">
          <cell r="K67">
            <v>0</v>
          </cell>
          <cell r="L67">
            <v>0</v>
          </cell>
          <cell r="M67">
            <v>0</v>
          </cell>
          <cell r="N67">
            <v>0</v>
          </cell>
          <cell r="O67">
            <v>0</v>
          </cell>
          <cell r="T67">
            <v>1</v>
          </cell>
          <cell r="W67">
            <v>0</v>
          </cell>
        </row>
        <row r="68">
          <cell r="K68">
            <v>0</v>
          </cell>
          <cell r="L68">
            <v>0</v>
          </cell>
          <cell r="M68">
            <v>0</v>
          </cell>
          <cell r="N68">
            <v>0</v>
          </cell>
          <cell r="O68">
            <v>0</v>
          </cell>
          <cell r="T68">
            <v>1</v>
          </cell>
          <cell r="W68">
            <v>0</v>
          </cell>
        </row>
        <row r="69">
          <cell r="K69">
            <v>0</v>
          </cell>
          <cell r="L69">
            <v>0</v>
          </cell>
          <cell r="M69">
            <v>0</v>
          </cell>
          <cell r="N69">
            <v>0</v>
          </cell>
          <cell r="O69">
            <v>0</v>
          </cell>
          <cell r="T69">
            <v>1</v>
          </cell>
          <cell r="W69">
            <v>0</v>
          </cell>
        </row>
        <row r="70">
          <cell r="K70">
            <v>0</v>
          </cell>
          <cell r="L70">
            <v>0</v>
          </cell>
          <cell r="M70">
            <v>0</v>
          </cell>
          <cell r="N70">
            <v>0</v>
          </cell>
          <cell r="O70">
            <v>0</v>
          </cell>
          <cell r="T70">
            <v>1</v>
          </cell>
          <cell r="W70">
            <v>0</v>
          </cell>
        </row>
        <row r="71">
          <cell r="K71">
            <v>0</v>
          </cell>
          <cell r="L71">
            <v>0</v>
          </cell>
          <cell r="M71">
            <v>0</v>
          </cell>
          <cell r="N71">
            <v>0</v>
          </cell>
          <cell r="O71">
            <v>0</v>
          </cell>
          <cell r="T71">
            <v>1</v>
          </cell>
          <cell r="W71">
            <v>0</v>
          </cell>
        </row>
        <row r="72">
          <cell r="K72">
            <v>0</v>
          </cell>
          <cell r="L72">
            <v>0</v>
          </cell>
          <cell r="M72">
            <v>0</v>
          </cell>
          <cell r="N72">
            <v>0</v>
          </cell>
          <cell r="O72">
            <v>0</v>
          </cell>
          <cell r="T72">
            <v>1</v>
          </cell>
          <cell r="W72">
            <v>0</v>
          </cell>
        </row>
        <row r="73">
          <cell r="K73">
            <v>0</v>
          </cell>
          <cell r="L73">
            <v>0</v>
          </cell>
          <cell r="M73">
            <v>0</v>
          </cell>
          <cell r="N73">
            <v>0</v>
          </cell>
          <cell r="O73">
            <v>0</v>
          </cell>
          <cell r="T73">
            <v>1</v>
          </cell>
          <cell r="W73">
            <v>0</v>
          </cell>
        </row>
        <row r="74">
          <cell r="K74">
            <v>0</v>
          </cell>
          <cell r="L74">
            <v>0</v>
          </cell>
          <cell r="M74">
            <v>0</v>
          </cell>
          <cell r="N74">
            <v>0</v>
          </cell>
          <cell r="O74">
            <v>0</v>
          </cell>
          <cell r="T74">
            <v>1</v>
          </cell>
          <cell r="W74">
            <v>0</v>
          </cell>
        </row>
        <row r="75">
          <cell r="K75">
            <v>0</v>
          </cell>
          <cell r="L75">
            <v>0</v>
          </cell>
          <cell r="M75">
            <v>0</v>
          </cell>
          <cell r="N75">
            <v>0</v>
          </cell>
          <cell r="O75">
            <v>0</v>
          </cell>
          <cell r="T75">
            <v>1</v>
          </cell>
          <cell r="W75">
            <v>0</v>
          </cell>
        </row>
        <row r="76">
          <cell r="K76">
            <v>0</v>
          </cell>
          <cell r="L76">
            <v>0</v>
          </cell>
          <cell r="M76">
            <v>0</v>
          </cell>
          <cell r="N76">
            <v>0</v>
          </cell>
          <cell r="O76">
            <v>0</v>
          </cell>
          <cell r="T76">
            <v>1</v>
          </cell>
          <cell r="W76">
            <v>0</v>
          </cell>
        </row>
        <row r="77">
          <cell r="K77">
            <v>0</v>
          </cell>
          <cell r="L77">
            <v>0</v>
          </cell>
          <cell r="M77">
            <v>0</v>
          </cell>
          <cell r="N77">
            <v>0</v>
          </cell>
          <cell r="O77">
            <v>0</v>
          </cell>
          <cell r="T77">
            <v>1</v>
          </cell>
          <cell r="W77">
            <v>0</v>
          </cell>
        </row>
        <row r="78">
          <cell r="K78">
            <v>0</v>
          </cell>
          <cell r="L78">
            <v>0</v>
          </cell>
          <cell r="M78">
            <v>0</v>
          </cell>
          <cell r="N78">
            <v>0</v>
          </cell>
          <cell r="O78">
            <v>0</v>
          </cell>
          <cell r="T78">
            <v>1</v>
          </cell>
          <cell r="W78">
            <v>0</v>
          </cell>
        </row>
        <row r="79">
          <cell r="K79">
            <v>0</v>
          </cell>
          <cell r="L79">
            <v>0</v>
          </cell>
          <cell r="M79">
            <v>0</v>
          </cell>
          <cell r="N79">
            <v>0</v>
          </cell>
          <cell r="O79">
            <v>0</v>
          </cell>
          <cell r="T79">
            <v>1</v>
          </cell>
          <cell r="W79">
            <v>0</v>
          </cell>
        </row>
        <row r="80">
          <cell r="K80">
            <v>0</v>
          </cell>
          <cell r="L80">
            <v>0</v>
          </cell>
          <cell r="M80">
            <v>0</v>
          </cell>
          <cell r="N80">
            <v>0</v>
          </cell>
          <cell r="O80">
            <v>0</v>
          </cell>
          <cell r="T80">
            <v>1</v>
          </cell>
          <cell r="W80">
            <v>0</v>
          </cell>
        </row>
        <row r="81">
          <cell r="K81">
            <v>0</v>
          </cell>
          <cell r="L81">
            <v>0</v>
          </cell>
          <cell r="M81">
            <v>0</v>
          </cell>
          <cell r="N81">
            <v>0</v>
          </cell>
          <cell r="O81">
            <v>0</v>
          </cell>
          <cell r="T81">
            <v>1</v>
          </cell>
          <cell r="W81">
            <v>0</v>
          </cell>
        </row>
        <row r="82">
          <cell r="K82">
            <v>0</v>
          </cell>
          <cell r="L82">
            <v>0</v>
          </cell>
          <cell r="M82">
            <v>0</v>
          </cell>
          <cell r="N82">
            <v>0</v>
          </cell>
          <cell r="O82">
            <v>0</v>
          </cell>
          <cell r="T82">
            <v>1</v>
          </cell>
          <cell r="W82">
            <v>0</v>
          </cell>
        </row>
        <row r="83">
          <cell r="K83">
            <v>0</v>
          </cell>
          <cell r="L83">
            <v>0</v>
          </cell>
          <cell r="M83">
            <v>0</v>
          </cell>
          <cell r="N83">
            <v>0</v>
          </cell>
          <cell r="O83">
            <v>0</v>
          </cell>
          <cell r="T83">
            <v>1</v>
          </cell>
          <cell r="W83">
            <v>0</v>
          </cell>
        </row>
        <row r="84">
          <cell r="K84">
            <v>0</v>
          </cell>
          <cell r="L84">
            <v>0</v>
          </cell>
          <cell r="M84">
            <v>0</v>
          </cell>
          <cell r="N84">
            <v>0</v>
          </cell>
          <cell r="O84">
            <v>0</v>
          </cell>
          <cell r="T84">
            <v>1</v>
          </cell>
          <cell r="W84">
            <v>0</v>
          </cell>
        </row>
        <row r="85">
          <cell r="K85">
            <v>0</v>
          </cell>
          <cell r="L85">
            <v>0</v>
          </cell>
          <cell r="M85">
            <v>0</v>
          </cell>
          <cell r="N85">
            <v>0</v>
          </cell>
          <cell r="O85">
            <v>0</v>
          </cell>
          <cell r="T85">
            <v>1</v>
          </cell>
          <cell r="W85">
            <v>0</v>
          </cell>
        </row>
        <row r="86">
          <cell r="K86">
            <v>0</v>
          </cell>
          <cell r="L86">
            <v>0</v>
          </cell>
          <cell r="M86">
            <v>0</v>
          </cell>
          <cell r="N86">
            <v>0</v>
          </cell>
          <cell r="O86">
            <v>0</v>
          </cell>
          <cell r="T86">
            <v>1</v>
          </cell>
          <cell r="W86">
            <v>0</v>
          </cell>
        </row>
        <row r="87">
          <cell r="K87">
            <v>0</v>
          </cell>
          <cell r="L87">
            <v>0</v>
          </cell>
          <cell r="M87">
            <v>0</v>
          </cell>
          <cell r="N87">
            <v>0</v>
          </cell>
          <cell r="O87">
            <v>0</v>
          </cell>
          <cell r="T87">
            <v>1</v>
          </cell>
          <cell r="W87">
            <v>0</v>
          </cell>
        </row>
        <row r="88">
          <cell r="K88">
            <v>0</v>
          </cell>
          <cell r="L88">
            <v>0</v>
          </cell>
          <cell r="M88">
            <v>0</v>
          </cell>
          <cell r="N88">
            <v>0</v>
          </cell>
          <cell r="O88">
            <v>0</v>
          </cell>
          <cell r="T88">
            <v>1</v>
          </cell>
          <cell r="W88">
            <v>0</v>
          </cell>
        </row>
        <row r="89">
          <cell r="K89">
            <v>0</v>
          </cell>
          <cell r="L89">
            <v>0</v>
          </cell>
          <cell r="M89">
            <v>0</v>
          </cell>
          <cell r="N89">
            <v>0</v>
          </cell>
          <cell r="O89">
            <v>0</v>
          </cell>
          <cell r="W89">
            <v>3934.75</v>
          </cell>
        </row>
        <row r="90">
          <cell r="K90">
            <v>0</v>
          </cell>
          <cell r="L90">
            <v>0</v>
          </cell>
          <cell r="M90">
            <v>0</v>
          </cell>
          <cell r="N90">
            <v>0</v>
          </cell>
          <cell r="O90">
            <v>0</v>
          </cell>
        </row>
        <row r="91">
          <cell r="K91">
            <v>0</v>
          </cell>
          <cell r="L91">
            <v>0</v>
          </cell>
          <cell r="M91">
            <v>0</v>
          </cell>
          <cell r="N91">
            <v>0</v>
          </cell>
          <cell r="O91">
            <v>0</v>
          </cell>
          <cell r="Y91" t="str">
            <v>Genesis</v>
          </cell>
          <cell r="Z91" t="str">
            <v>Luke</v>
          </cell>
          <cell r="AA91" t="str">
            <v>NT</v>
          </cell>
          <cell r="AB91" t="str">
            <v>OT</v>
          </cell>
          <cell r="AC91" t="str">
            <v>Pioneer Series</v>
          </cell>
        </row>
        <row r="92">
          <cell r="K92">
            <v>0</v>
          </cell>
          <cell r="L92">
            <v>0</v>
          </cell>
          <cell r="M92">
            <v>0</v>
          </cell>
          <cell r="N92">
            <v>0</v>
          </cell>
          <cell r="O92">
            <v>0</v>
          </cell>
        </row>
        <row r="93">
          <cell r="K93">
            <v>0</v>
          </cell>
          <cell r="L93">
            <v>0</v>
          </cell>
          <cell r="M93">
            <v>0</v>
          </cell>
          <cell r="N93">
            <v>0</v>
          </cell>
          <cell r="O93">
            <v>0</v>
          </cell>
        </row>
        <row r="94">
          <cell r="K94">
            <v>0</v>
          </cell>
          <cell r="L94">
            <v>0</v>
          </cell>
          <cell r="M94">
            <v>0</v>
          </cell>
          <cell r="N94">
            <v>0</v>
          </cell>
          <cell r="O94">
            <v>0</v>
          </cell>
        </row>
        <row r="95">
          <cell r="K95">
            <v>0</v>
          </cell>
          <cell r="L95">
            <v>0</v>
          </cell>
          <cell r="M95">
            <v>0</v>
          </cell>
          <cell r="N95">
            <v>0</v>
          </cell>
          <cell r="O95">
            <v>0</v>
          </cell>
        </row>
        <row r="96">
          <cell r="K96">
            <v>0</v>
          </cell>
          <cell r="L96">
            <v>0</v>
          </cell>
          <cell r="M96">
            <v>0</v>
          </cell>
          <cell r="N96">
            <v>0</v>
          </cell>
          <cell r="O96">
            <v>0</v>
          </cell>
        </row>
        <row r="97">
          <cell r="K97">
            <v>0</v>
          </cell>
          <cell r="L97">
            <v>0</v>
          </cell>
          <cell r="M97">
            <v>0</v>
          </cell>
          <cell r="N97">
            <v>0</v>
          </cell>
          <cell r="O97">
            <v>0</v>
          </cell>
        </row>
        <row r="98">
          <cell r="K98">
            <v>0</v>
          </cell>
          <cell r="L98">
            <v>0</v>
          </cell>
          <cell r="M98">
            <v>0</v>
          </cell>
          <cell r="N98">
            <v>0</v>
          </cell>
          <cell r="O98">
            <v>0</v>
          </cell>
        </row>
        <row r="99">
          <cell r="K99">
            <v>0</v>
          </cell>
          <cell r="L99">
            <v>0</v>
          </cell>
          <cell r="M99">
            <v>0</v>
          </cell>
          <cell r="N99">
            <v>0</v>
          </cell>
          <cell r="O99">
            <v>0</v>
          </cell>
        </row>
        <row r="100">
          <cell r="K100">
            <v>0</v>
          </cell>
          <cell r="L100">
            <v>0</v>
          </cell>
          <cell r="M100">
            <v>0</v>
          </cell>
          <cell r="N100">
            <v>0</v>
          </cell>
          <cell r="O100">
            <v>0</v>
          </cell>
        </row>
        <row r="101">
          <cell r="K101">
            <v>0</v>
          </cell>
          <cell r="L101">
            <v>0</v>
          </cell>
          <cell r="M101">
            <v>0</v>
          </cell>
          <cell r="N101">
            <v>0</v>
          </cell>
          <cell r="O101">
            <v>0</v>
          </cell>
        </row>
        <row r="102">
          <cell r="K102">
            <v>0</v>
          </cell>
          <cell r="L102">
            <v>0</v>
          </cell>
          <cell r="M102">
            <v>0</v>
          </cell>
          <cell r="N102">
            <v>0</v>
          </cell>
          <cell r="O102">
            <v>0</v>
          </cell>
        </row>
        <row r="103">
          <cell r="K103">
            <v>0</v>
          </cell>
          <cell r="L103">
            <v>0</v>
          </cell>
          <cell r="M103">
            <v>0</v>
          </cell>
          <cell r="N103">
            <v>0</v>
          </cell>
          <cell r="O103">
            <v>0</v>
          </cell>
        </row>
        <row r="104">
          <cell r="K104">
            <v>0</v>
          </cell>
          <cell r="L104">
            <v>0</v>
          </cell>
          <cell r="M104">
            <v>0</v>
          </cell>
          <cell r="N104">
            <v>0</v>
          </cell>
          <cell r="O104">
            <v>0</v>
          </cell>
        </row>
        <row r="105">
          <cell r="K105">
            <v>2016</v>
          </cell>
          <cell r="L105" t="str">
            <v>Q4</v>
          </cell>
          <cell r="M105">
            <v>2016</v>
          </cell>
          <cell r="N105">
            <v>1.7231082025541647E-2</v>
          </cell>
          <cell r="O105">
            <v>1.7231082025541647E-2</v>
          </cell>
        </row>
        <row r="106">
          <cell r="K106">
            <v>2017</v>
          </cell>
          <cell r="L106" t="str">
            <v>Q3</v>
          </cell>
          <cell r="M106">
            <v>2018</v>
          </cell>
          <cell r="N106">
            <v>2.9252176123006547E-2</v>
          </cell>
          <cell r="O106">
            <v>2.9252176123006547E-2</v>
          </cell>
        </row>
        <row r="107">
          <cell r="K107">
            <v>2018</v>
          </cell>
          <cell r="L107">
            <v>0.75</v>
          </cell>
          <cell r="M107">
            <v>2018</v>
          </cell>
          <cell r="N107">
            <v>2.7924264565728447E-2</v>
          </cell>
          <cell r="O107">
            <v>2.0943198424296337E-2</v>
          </cell>
        </row>
        <row r="108">
          <cell r="K108">
            <v>2016</v>
          </cell>
          <cell r="L108" t="str">
            <v>Q4</v>
          </cell>
          <cell r="M108">
            <v>2016</v>
          </cell>
          <cell r="N108">
            <v>2.5592477285723364E-2</v>
          </cell>
          <cell r="O108">
            <v>2.5592477285723364E-2</v>
          </cell>
        </row>
        <row r="109">
          <cell r="K109">
            <v>0</v>
          </cell>
          <cell r="L109">
            <v>0</v>
          </cell>
          <cell r="M109">
            <v>0</v>
          </cell>
          <cell r="N109">
            <v>0</v>
          </cell>
          <cell r="O109">
            <v>0</v>
          </cell>
        </row>
        <row r="110">
          <cell r="K110">
            <v>0</v>
          </cell>
          <cell r="L110">
            <v>0</v>
          </cell>
          <cell r="M110">
            <v>0</v>
          </cell>
          <cell r="N110">
            <v>0</v>
          </cell>
          <cell r="O110">
            <v>0</v>
          </cell>
        </row>
        <row r="111">
          <cell r="K111">
            <v>0</v>
          </cell>
          <cell r="L111">
            <v>0</v>
          </cell>
          <cell r="M111">
            <v>0</v>
          </cell>
          <cell r="N111">
            <v>0</v>
          </cell>
          <cell r="O111">
            <v>0</v>
          </cell>
        </row>
        <row r="112">
          <cell r="K112">
            <v>0</v>
          </cell>
          <cell r="L112">
            <v>0</v>
          </cell>
          <cell r="M112">
            <v>0</v>
          </cell>
          <cell r="N112">
            <v>0</v>
          </cell>
          <cell r="O112">
            <v>0</v>
          </cell>
        </row>
        <row r="113">
          <cell r="K113">
            <v>0</v>
          </cell>
          <cell r="L113">
            <v>0</v>
          </cell>
          <cell r="M113">
            <v>0</v>
          </cell>
          <cell r="N113">
            <v>0</v>
          </cell>
          <cell r="O113">
            <v>0</v>
          </cell>
        </row>
        <row r="114">
          <cell r="K114">
            <v>0</v>
          </cell>
          <cell r="L114">
            <v>0</v>
          </cell>
          <cell r="M114">
            <v>0</v>
          </cell>
          <cell r="N114">
            <v>0</v>
          </cell>
          <cell r="O114">
            <v>0</v>
          </cell>
        </row>
        <row r="115">
          <cell r="K115">
            <v>0</v>
          </cell>
          <cell r="L115">
            <v>0</v>
          </cell>
          <cell r="M115">
            <v>0</v>
          </cell>
          <cell r="N115">
            <v>0</v>
          </cell>
          <cell r="O115">
            <v>0</v>
          </cell>
        </row>
        <row r="116">
          <cell r="K116">
            <v>0</v>
          </cell>
          <cell r="L116" t="str">
            <v>Q2</v>
          </cell>
          <cell r="M116">
            <v>2019</v>
          </cell>
          <cell r="N116">
            <v>0</v>
          </cell>
          <cell r="O116">
            <v>0</v>
          </cell>
        </row>
        <row r="117">
          <cell r="K117">
            <v>0</v>
          </cell>
          <cell r="L117" t="str">
            <v>Q2</v>
          </cell>
          <cell r="M117">
            <v>2019</v>
          </cell>
          <cell r="N117">
            <v>0</v>
          </cell>
          <cell r="O117">
            <v>0</v>
          </cell>
        </row>
        <row r="118">
          <cell r="K118">
            <v>0</v>
          </cell>
          <cell r="L118" t="str">
            <v>Q4</v>
          </cell>
          <cell r="M118">
            <v>2019</v>
          </cell>
          <cell r="N118">
            <v>0</v>
          </cell>
          <cell r="O118">
            <v>0</v>
          </cell>
        </row>
        <row r="119">
          <cell r="K119">
            <v>0</v>
          </cell>
          <cell r="L119" t="str">
            <v>Q4</v>
          </cell>
          <cell r="M119">
            <v>2019</v>
          </cell>
          <cell r="N119">
            <v>0</v>
          </cell>
          <cell r="O119">
            <v>0</v>
          </cell>
        </row>
        <row r="120">
          <cell r="K120">
            <v>0</v>
          </cell>
          <cell r="L120" t="str">
            <v>Q4</v>
          </cell>
          <cell r="M120">
            <v>2019</v>
          </cell>
          <cell r="N120">
            <v>0</v>
          </cell>
          <cell r="O120">
            <v>0</v>
          </cell>
        </row>
        <row r="121">
          <cell r="K121">
            <v>0</v>
          </cell>
          <cell r="L121" t="str">
            <v>Q4</v>
          </cell>
          <cell r="M121">
            <v>2019</v>
          </cell>
          <cell r="N121">
            <v>0</v>
          </cell>
          <cell r="O121">
            <v>0</v>
          </cell>
        </row>
        <row r="122">
          <cell r="K122">
            <v>0</v>
          </cell>
          <cell r="L122">
            <v>0</v>
          </cell>
          <cell r="M122">
            <v>0</v>
          </cell>
          <cell r="N122">
            <v>0</v>
          </cell>
          <cell r="O122">
            <v>0</v>
          </cell>
        </row>
        <row r="123">
          <cell r="K123">
            <v>0</v>
          </cell>
          <cell r="L123" t="str">
            <v>Q4</v>
          </cell>
          <cell r="M123">
            <v>2018</v>
          </cell>
          <cell r="N123">
            <v>0</v>
          </cell>
          <cell r="O123">
            <v>0</v>
          </cell>
        </row>
        <row r="124">
          <cell r="K124">
            <v>0</v>
          </cell>
          <cell r="L124">
            <v>0</v>
          </cell>
          <cell r="M124">
            <v>0</v>
          </cell>
          <cell r="N124">
            <v>0</v>
          </cell>
          <cell r="O124">
            <v>0</v>
          </cell>
        </row>
        <row r="125">
          <cell r="K125">
            <v>0</v>
          </cell>
          <cell r="L125">
            <v>0</v>
          </cell>
          <cell r="M125">
            <v>0</v>
          </cell>
          <cell r="N125">
            <v>0</v>
          </cell>
          <cell r="O125">
            <v>0</v>
          </cell>
        </row>
        <row r="126">
          <cell r="K126">
            <v>0</v>
          </cell>
          <cell r="L126">
            <v>0</v>
          </cell>
          <cell r="M126">
            <v>0</v>
          </cell>
          <cell r="N126">
            <v>0</v>
          </cell>
          <cell r="O126">
            <v>0</v>
          </cell>
        </row>
        <row r="127">
          <cell r="K127">
            <v>0</v>
          </cell>
          <cell r="L127">
            <v>0</v>
          </cell>
          <cell r="M127">
            <v>0</v>
          </cell>
          <cell r="N127">
            <v>0</v>
          </cell>
          <cell r="O127">
            <v>0</v>
          </cell>
        </row>
        <row r="128">
          <cell r="K128">
            <v>0</v>
          </cell>
          <cell r="L128">
            <v>0</v>
          </cell>
          <cell r="M128">
            <v>0</v>
          </cell>
          <cell r="N128">
            <v>0</v>
          </cell>
          <cell r="O128">
            <v>0</v>
          </cell>
        </row>
        <row r="129">
          <cell r="K129">
            <v>0</v>
          </cell>
          <cell r="L129">
            <v>0</v>
          </cell>
          <cell r="M129">
            <v>0</v>
          </cell>
          <cell r="N129">
            <v>0</v>
          </cell>
          <cell r="O129">
            <v>0</v>
          </cell>
        </row>
        <row r="130">
          <cell r="K130">
            <v>0</v>
          </cell>
          <cell r="L130">
            <v>0</v>
          </cell>
          <cell r="M130">
            <v>0</v>
          </cell>
          <cell r="N130">
            <v>0</v>
          </cell>
          <cell r="O130">
            <v>0</v>
          </cell>
        </row>
        <row r="131">
          <cell r="K131">
            <v>0</v>
          </cell>
          <cell r="L131">
            <v>0</v>
          </cell>
          <cell r="M131">
            <v>0</v>
          </cell>
          <cell r="N131">
            <v>0</v>
          </cell>
          <cell r="O131">
            <v>0</v>
          </cell>
        </row>
        <row r="132">
          <cell r="K132">
            <v>0</v>
          </cell>
          <cell r="L132">
            <v>0</v>
          </cell>
          <cell r="M132">
            <v>0</v>
          </cell>
          <cell r="N132">
            <v>0</v>
          </cell>
          <cell r="O132">
            <v>0</v>
          </cell>
        </row>
        <row r="133">
          <cell r="K133">
            <v>0</v>
          </cell>
          <cell r="L133">
            <v>0</v>
          </cell>
          <cell r="M133">
            <v>0</v>
          </cell>
          <cell r="N133">
            <v>0</v>
          </cell>
          <cell r="O133">
            <v>0</v>
          </cell>
        </row>
        <row r="134">
          <cell r="K134">
            <v>0</v>
          </cell>
          <cell r="L134">
            <v>0</v>
          </cell>
          <cell r="M134">
            <v>0</v>
          </cell>
          <cell r="N134">
            <v>0</v>
          </cell>
          <cell r="O134">
            <v>0</v>
          </cell>
        </row>
        <row r="135">
          <cell r="K135">
            <v>0</v>
          </cell>
          <cell r="L135">
            <v>0</v>
          </cell>
          <cell r="M135">
            <v>0</v>
          </cell>
          <cell r="N135">
            <v>0</v>
          </cell>
          <cell r="O135">
            <v>0</v>
          </cell>
        </row>
        <row r="136">
          <cell r="K136">
            <v>0</v>
          </cell>
          <cell r="L136">
            <v>0</v>
          </cell>
          <cell r="M136">
            <v>0</v>
          </cell>
          <cell r="N136">
            <v>0</v>
          </cell>
          <cell r="O136">
            <v>0</v>
          </cell>
        </row>
        <row r="137">
          <cell r="K137">
            <v>0</v>
          </cell>
          <cell r="L137">
            <v>0</v>
          </cell>
          <cell r="M137">
            <v>0</v>
          </cell>
          <cell r="N137">
            <v>0</v>
          </cell>
          <cell r="O137">
            <v>0</v>
          </cell>
        </row>
        <row r="138">
          <cell r="K138">
            <v>0</v>
          </cell>
          <cell r="L138">
            <v>0</v>
          </cell>
          <cell r="M138">
            <v>0</v>
          </cell>
          <cell r="N138">
            <v>0</v>
          </cell>
          <cell r="O138">
            <v>0</v>
          </cell>
        </row>
        <row r="139">
          <cell r="K139">
            <v>0</v>
          </cell>
          <cell r="L139">
            <v>0</v>
          </cell>
          <cell r="M139">
            <v>0</v>
          </cell>
          <cell r="N139">
            <v>0</v>
          </cell>
          <cell r="O139">
            <v>0</v>
          </cell>
        </row>
        <row r="140">
          <cell r="K140">
            <v>0</v>
          </cell>
          <cell r="L140">
            <v>0</v>
          </cell>
          <cell r="M140">
            <v>0</v>
          </cell>
          <cell r="N140">
            <v>0</v>
          </cell>
          <cell r="O140">
            <v>0</v>
          </cell>
        </row>
        <row r="141">
          <cell r="K141">
            <v>0</v>
          </cell>
          <cell r="L141">
            <v>0</v>
          </cell>
          <cell r="M141">
            <v>0</v>
          </cell>
          <cell r="N141">
            <v>0</v>
          </cell>
          <cell r="O141">
            <v>0</v>
          </cell>
        </row>
        <row r="142">
          <cell r="K142">
            <v>0</v>
          </cell>
          <cell r="L142">
            <v>0</v>
          </cell>
          <cell r="M142">
            <v>0</v>
          </cell>
          <cell r="N142">
            <v>0</v>
          </cell>
          <cell r="O142">
            <v>0</v>
          </cell>
        </row>
        <row r="143">
          <cell r="K143">
            <v>0</v>
          </cell>
          <cell r="L143">
            <v>0</v>
          </cell>
          <cell r="M143">
            <v>0</v>
          </cell>
          <cell r="N143">
            <v>0</v>
          </cell>
          <cell r="O143">
            <v>0</v>
          </cell>
        </row>
        <row r="144">
          <cell r="K144">
            <v>0</v>
          </cell>
          <cell r="L144">
            <v>0</v>
          </cell>
          <cell r="M144">
            <v>0</v>
          </cell>
          <cell r="N144">
            <v>0</v>
          </cell>
          <cell r="O144">
            <v>0</v>
          </cell>
        </row>
        <row r="145">
          <cell r="K145">
            <v>0</v>
          </cell>
          <cell r="L145">
            <v>0</v>
          </cell>
          <cell r="M145">
            <v>0</v>
          </cell>
          <cell r="N145">
            <v>0</v>
          </cell>
          <cell r="O145">
            <v>0</v>
          </cell>
        </row>
        <row r="146">
          <cell r="K146">
            <v>0</v>
          </cell>
          <cell r="L146">
            <v>0</v>
          </cell>
          <cell r="M146">
            <v>0</v>
          </cell>
          <cell r="N146">
            <v>0</v>
          </cell>
          <cell r="O146">
            <v>0</v>
          </cell>
        </row>
        <row r="147">
          <cell r="K147">
            <v>0</v>
          </cell>
          <cell r="L147">
            <v>0</v>
          </cell>
          <cell r="M147">
            <v>0</v>
          </cell>
          <cell r="N147">
            <v>0</v>
          </cell>
          <cell r="O147">
            <v>0</v>
          </cell>
        </row>
        <row r="148">
          <cell r="K148">
            <v>0</v>
          </cell>
          <cell r="L148">
            <v>0</v>
          </cell>
          <cell r="M148">
            <v>0</v>
          </cell>
          <cell r="N148">
            <v>0</v>
          </cell>
          <cell r="O148">
            <v>0</v>
          </cell>
        </row>
        <row r="149">
          <cell r="K149">
            <v>0</v>
          </cell>
          <cell r="L149">
            <v>0</v>
          </cell>
          <cell r="M149">
            <v>0</v>
          </cell>
          <cell r="N149">
            <v>0</v>
          </cell>
          <cell r="O149">
            <v>0</v>
          </cell>
        </row>
        <row r="150">
          <cell r="K150">
            <v>0</v>
          </cell>
          <cell r="L150">
            <v>0</v>
          </cell>
          <cell r="M150">
            <v>0</v>
          </cell>
          <cell r="N150">
            <v>0</v>
          </cell>
          <cell r="O150">
            <v>0</v>
          </cell>
        </row>
        <row r="151">
          <cell r="K151">
            <v>0</v>
          </cell>
          <cell r="L151">
            <v>0</v>
          </cell>
          <cell r="M151">
            <v>0</v>
          </cell>
          <cell r="N151">
            <v>0</v>
          </cell>
          <cell r="O151">
            <v>0</v>
          </cell>
        </row>
        <row r="152">
          <cell r="K152">
            <v>0</v>
          </cell>
          <cell r="L152">
            <v>0</v>
          </cell>
          <cell r="M152">
            <v>0</v>
          </cell>
          <cell r="N152">
            <v>0</v>
          </cell>
          <cell r="O152">
            <v>0</v>
          </cell>
        </row>
        <row r="153">
          <cell r="K153">
            <v>0</v>
          </cell>
          <cell r="L153">
            <v>0</v>
          </cell>
          <cell r="M153">
            <v>0</v>
          </cell>
          <cell r="N153">
            <v>0</v>
          </cell>
          <cell r="O153">
            <v>0</v>
          </cell>
        </row>
        <row r="154">
          <cell r="K154">
            <v>0</v>
          </cell>
          <cell r="L154">
            <v>0</v>
          </cell>
          <cell r="M154">
            <v>0</v>
          </cell>
          <cell r="N154">
            <v>0</v>
          </cell>
          <cell r="O154">
            <v>0</v>
          </cell>
        </row>
        <row r="155">
          <cell r="K155">
            <v>0</v>
          </cell>
          <cell r="L155">
            <v>0</v>
          </cell>
          <cell r="M155">
            <v>0</v>
          </cell>
          <cell r="N155">
            <v>0</v>
          </cell>
          <cell r="O155">
            <v>0</v>
          </cell>
        </row>
        <row r="156">
          <cell r="K156">
            <v>0</v>
          </cell>
          <cell r="L156">
            <v>0</v>
          </cell>
          <cell r="M156">
            <v>0</v>
          </cell>
          <cell r="N156">
            <v>0</v>
          </cell>
          <cell r="O156">
            <v>0</v>
          </cell>
        </row>
        <row r="157">
          <cell r="K157">
            <v>0</v>
          </cell>
          <cell r="L157">
            <v>0</v>
          </cell>
          <cell r="M157">
            <v>0</v>
          </cell>
          <cell r="N157">
            <v>0</v>
          </cell>
          <cell r="O157">
            <v>0</v>
          </cell>
        </row>
        <row r="158">
          <cell r="K158">
            <v>0</v>
          </cell>
          <cell r="L158">
            <v>0</v>
          </cell>
          <cell r="M158">
            <v>0</v>
          </cell>
          <cell r="N158">
            <v>0</v>
          </cell>
          <cell r="O158">
            <v>0</v>
          </cell>
        </row>
        <row r="159">
          <cell r="K159">
            <v>0</v>
          </cell>
          <cell r="L159">
            <v>0</v>
          </cell>
          <cell r="M159">
            <v>0</v>
          </cell>
          <cell r="N159">
            <v>0</v>
          </cell>
          <cell r="O159">
            <v>0</v>
          </cell>
        </row>
        <row r="160">
          <cell r="K160">
            <v>0</v>
          </cell>
          <cell r="L160">
            <v>0</v>
          </cell>
          <cell r="M160">
            <v>0</v>
          </cell>
          <cell r="N160">
            <v>0</v>
          </cell>
          <cell r="O160">
            <v>0</v>
          </cell>
        </row>
        <row r="161">
          <cell r="K161">
            <v>0</v>
          </cell>
          <cell r="L161">
            <v>0</v>
          </cell>
          <cell r="M161">
            <v>0</v>
          </cell>
          <cell r="N161">
            <v>0</v>
          </cell>
          <cell r="O161">
            <v>0</v>
          </cell>
        </row>
        <row r="162">
          <cell r="K162">
            <v>0</v>
          </cell>
          <cell r="L162">
            <v>0</v>
          </cell>
          <cell r="M162">
            <v>0</v>
          </cell>
          <cell r="N162">
            <v>0</v>
          </cell>
          <cell r="O162">
            <v>0</v>
          </cell>
        </row>
        <row r="163">
          <cell r="K163">
            <v>0</v>
          </cell>
          <cell r="L163">
            <v>0</v>
          </cell>
          <cell r="M163">
            <v>0</v>
          </cell>
          <cell r="N163">
            <v>0</v>
          </cell>
          <cell r="O163">
            <v>0</v>
          </cell>
        </row>
        <row r="164">
          <cell r="K164">
            <v>0</v>
          </cell>
          <cell r="L164">
            <v>0</v>
          </cell>
          <cell r="M164">
            <v>0</v>
          </cell>
          <cell r="N164">
            <v>0</v>
          </cell>
          <cell r="O164">
            <v>0</v>
          </cell>
        </row>
        <row r="165">
          <cell r="K165">
            <v>0</v>
          </cell>
          <cell r="L165">
            <v>0</v>
          </cell>
          <cell r="M165">
            <v>0</v>
          </cell>
          <cell r="N165">
            <v>0</v>
          </cell>
          <cell r="O165">
            <v>0</v>
          </cell>
        </row>
        <row r="166">
          <cell r="K166">
            <v>0</v>
          </cell>
          <cell r="L166">
            <v>0</v>
          </cell>
          <cell r="M166">
            <v>0</v>
          </cell>
          <cell r="N166">
            <v>0</v>
          </cell>
          <cell r="O166">
            <v>0</v>
          </cell>
        </row>
        <row r="167">
          <cell r="K167">
            <v>0</v>
          </cell>
          <cell r="L167">
            <v>0</v>
          </cell>
          <cell r="M167">
            <v>0</v>
          </cell>
          <cell r="N167">
            <v>0</v>
          </cell>
          <cell r="O167">
            <v>0</v>
          </cell>
        </row>
        <row r="168">
          <cell r="K168">
            <v>0</v>
          </cell>
          <cell r="L168">
            <v>0</v>
          </cell>
          <cell r="M168">
            <v>0</v>
          </cell>
          <cell r="N168">
            <v>0</v>
          </cell>
          <cell r="O168">
            <v>0</v>
          </cell>
        </row>
        <row r="169">
          <cell r="K169">
            <v>0</v>
          </cell>
          <cell r="L169">
            <v>0</v>
          </cell>
          <cell r="M169">
            <v>0</v>
          </cell>
          <cell r="N169">
            <v>0</v>
          </cell>
          <cell r="O169">
            <v>0</v>
          </cell>
        </row>
        <row r="170">
          <cell r="K170">
            <v>0</v>
          </cell>
          <cell r="L170">
            <v>0</v>
          </cell>
          <cell r="M170">
            <v>0</v>
          </cell>
          <cell r="N170">
            <v>0</v>
          </cell>
          <cell r="O170">
            <v>0</v>
          </cell>
        </row>
        <row r="171">
          <cell r="K171">
            <v>2016</v>
          </cell>
          <cell r="L171" t="str">
            <v>Q4</v>
          </cell>
          <cell r="M171">
            <v>2016</v>
          </cell>
          <cell r="N171">
            <v>3.4462164051083294E-2</v>
          </cell>
          <cell r="O171">
            <v>3.4462164051083294E-2</v>
          </cell>
        </row>
        <row r="172">
          <cell r="K172">
            <v>2018</v>
          </cell>
          <cell r="L172" t="str">
            <v>Q3</v>
          </cell>
          <cell r="M172">
            <v>2018</v>
          </cell>
          <cell r="N172">
            <v>5.8504352246013094E-2</v>
          </cell>
          <cell r="O172">
            <v>5.8504352246013094E-2</v>
          </cell>
        </row>
        <row r="173">
          <cell r="K173">
            <v>2019</v>
          </cell>
          <cell r="L173" t="str">
            <v>Q1</v>
          </cell>
          <cell r="M173">
            <v>2019</v>
          </cell>
          <cell r="N173">
            <v>5.5848529131456895E-2</v>
          </cell>
          <cell r="O173">
            <v>5.5848529131456895E-2</v>
          </cell>
        </row>
        <row r="174">
          <cell r="K174">
            <v>2017</v>
          </cell>
          <cell r="L174" t="str">
            <v>Q2</v>
          </cell>
          <cell r="M174">
            <v>2017</v>
          </cell>
          <cell r="N174">
            <v>5.1184954571446728E-2</v>
          </cell>
          <cell r="O174">
            <v>5.1184954571446728E-2</v>
          </cell>
        </row>
        <row r="175">
          <cell r="K175">
            <v>0</v>
          </cell>
          <cell r="L175">
            <v>0</v>
          </cell>
          <cell r="M175">
            <v>0</v>
          </cell>
          <cell r="N175">
            <v>0</v>
          </cell>
          <cell r="O175">
            <v>0</v>
          </cell>
        </row>
        <row r="176">
          <cell r="K176">
            <v>0</v>
          </cell>
          <cell r="L176">
            <v>0</v>
          </cell>
          <cell r="M176">
            <v>0</v>
          </cell>
          <cell r="N176">
            <v>0</v>
          </cell>
          <cell r="O176">
            <v>0</v>
          </cell>
        </row>
        <row r="177">
          <cell r="K177">
            <v>0</v>
          </cell>
          <cell r="L177">
            <v>0</v>
          </cell>
          <cell r="M177">
            <v>0</v>
          </cell>
          <cell r="N177">
            <v>0</v>
          </cell>
          <cell r="O177">
            <v>0</v>
          </cell>
        </row>
        <row r="178">
          <cell r="K178">
            <v>0</v>
          </cell>
          <cell r="L178">
            <v>0</v>
          </cell>
          <cell r="M178">
            <v>0</v>
          </cell>
          <cell r="N178">
            <v>0</v>
          </cell>
          <cell r="O178">
            <v>0</v>
          </cell>
        </row>
        <row r="179">
          <cell r="K179">
            <v>0</v>
          </cell>
          <cell r="L179">
            <v>0</v>
          </cell>
          <cell r="M179">
            <v>0</v>
          </cell>
          <cell r="N179">
            <v>0</v>
          </cell>
          <cell r="O179">
            <v>0</v>
          </cell>
        </row>
        <row r="180">
          <cell r="K180">
            <v>0</v>
          </cell>
          <cell r="L180">
            <v>0</v>
          </cell>
          <cell r="M180">
            <v>0</v>
          </cell>
          <cell r="N180">
            <v>0</v>
          </cell>
          <cell r="O180">
            <v>0</v>
          </cell>
        </row>
        <row r="181">
          <cell r="K181">
            <v>0</v>
          </cell>
          <cell r="L181">
            <v>0</v>
          </cell>
          <cell r="M181">
            <v>0</v>
          </cell>
          <cell r="N181">
            <v>0</v>
          </cell>
          <cell r="O181">
            <v>0</v>
          </cell>
        </row>
        <row r="182">
          <cell r="K182">
            <v>0</v>
          </cell>
          <cell r="L182" t="str">
            <v>Q3</v>
          </cell>
          <cell r="M182">
            <v>2019</v>
          </cell>
          <cell r="N182">
            <v>0</v>
          </cell>
          <cell r="O182">
            <v>0</v>
          </cell>
        </row>
        <row r="183">
          <cell r="K183">
            <v>0</v>
          </cell>
          <cell r="L183" t="str">
            <v>Q4</v>
          </cell>
          <cell r="M183">
            <v>2019</v>
          </cell>
          <cell r="N183">
            <v>0</v>
          </cell>
          <cell r="O183">
            <v>0</v>
          </cell>
        </row>
        <row r="184">
          <cell r="K184">
            <v>0</v>
          </cell>
          <cell r="L184" t="str">
            <v>Q4</v>
          </cell>
          <cell r="M184">
            <v>2019</v>
          </cell>
          <cell r="N184">
            <v>0</v>
          </cell>
          <cell r="O184">
            <v>0</v>
          </cell>
        </row>
        <row r="185">
          <cell r="K185">
            <v>0</v>
          </cell>
          <cell r="L185">
            <v>0</v>
          </cell>
          <cell r="M185">
            <v>0</v>
          </cell>
          <cell r="N185">
            <v>0</v>
          </cell>
          <cell r="O185">
            <v>0</v>
          </cell>
        </row>
        <row r="186">
          <cell r="K186">
            <v>0</v>
          </cell>
          <cell r="L186">
            <v>0</v>
          </cell>
          <cell r="M186">
            <v>0</v>
          </cell>
          <cell r="N186">
            <v>0</v>
          </cell>
          <cell r="O186">
            <v>0</v>
          </cell>
        </row>
        <row r="187">
          <cell r="K187">
            <v>0</v>
          </cell>
          <cell r="L187">
            <v>0</v>
          </cell>
          <cell r="M187">
            <v>0</v>
          </cell>
          <cell r="N187">
            <v>0</v>
          </cell>
          <cell r="O187">
            <v>0</v>
          </cell>
        </row>
        <row r="188">
          <cell r="K188">
            <v>0</v>
          </cell>
          <cell r="L188">
            <v>0</v>
          </cell>
          <cell r="M188">
            <v>0</v>
          </cell>
          <cell r="N188">
            <v>0</v>
          </cell>
          <cell r="O188">
            <v>0</v>
          </cell>
        </row>
        <row r="189">
          <cell r="K189">
            <v>0</v>
          </cell>
          <cell r="L189" t="str">
            <v>Q2</v>
          </cell>
          <cell r="M189">
            <v>2019</v>
          </cell>
          <cell r="N189">
            <v>0</v>
          </cell>
          <cell r="O189">
            <v>0</v>
          </cell>
        </row>
        <row r="190">
          <cell r="K190">
            <v>0</v>
          </cell>
          <cell r="L190">
            <v>0</v>
          </cell>
          <cell r="M190">
            <v>0</v>
          </cell>
          <cell r="N190">
            <v>0</v>
          </cell>
          <cell r="O190">
            <v>0</v>
          </cell>
        </row>
        <row r="191">
          <cell r="K191">
            <v>0</v>
          </cell>
          <cell r="L191">
            <v>0</v>
          </cell>
          <cell r="M191">
            <v>0</v>
          </cell>
          <cell r="N191">
            <v>0</v>
          </cell>
          <cell r="O191">
            <v>0</v>
          </cell>
        </row>
        <row r="192">
          <cell r="K192">
            <v>0</v>
          </cell>
          <cell r="L192">
            <v>0</v>
          </cell>
          <cell r="M192">
            <v>0</v>
          </cell>
          <cell r="N192">
            <v>0</v>
          </cell>
          <cell r="O192">
            <v>0</v>
          </cell>
        </row>
        <row r="193">
          <cell r="K193">
            <v>0</v>
          </cell>
          <cell r="L193">
            <v>0</v>
          </cell>
          <cell r="M193">
            <v>0</v>
          </cell>
          <cell r="N193">
            <v>0</v>
          </cell>
          <cell r="O193">
            <v>0</v>
          </cell>
        </row>
        <row r="194">
          <cell r="K194">
            <v>0</v>
          </cell>
          <cell r="L194">
            <v>0</v>
          </cell>
          <cell r="M194">
            <v>0</v>
          </cell>
          <cell r="N194">
            <v>0</v>
          </cell>
          <cell r="O194">
            <v>0</v>
          </cell>
        </row>
        <row r="195">
          <cell r="K195">
            <v>0</v>
          </cell>
          <cell r="L195">
            <v>0</v>
          </cell>
          <cell r="M195">
            <v>0</v>
          </cell>
          <cell r="N195">
            <v>0</v>
          </cell>
          <cell r="O195">
            <v>0</v>
          </cell>
        </row>
        <row r="196">
          <cell r="K196">
            <v>0</v>
          </cell>
          <cell r="L196">
            <v>0</v>
          </cell>
          <cell r="M196">
            <v>0</v>
          </cell>
          <cell r="N196">
            <v>0</v>
          </cell>
          <cell r="O196">
            <v>0</v>
          </cell>
        </row>
        <row r="197">
          <cell r="K197">
            <v>0</v>
          </cell>
          <cell r="L197">
            <v>0</v>
          </cell>
          <cell r="M197">
            <v>0</v>
          </cell>
          <cell r="N197">
            <v>0</v>
          </cell>
          <cell r="O197">
            <v>0</v>
          </cell>
        </row>
        <row r="198">
          <cell r="K198">
            <v>0</v>
          </cell>
          <cell r="L198">
            <v>0</v>
          </cell>
          <cell r="M198">
            <v>0</v>
          </cell>
          <cell r="N198">
            <v>0</v>
          </cell>
          <cell r="O198">
            <v>0</v>
          </cell>
        </row>
        <row r="199">
          <cell r="K199">
            <v>0</v>
          </cell>
          <cell r="L199">
            <v>0</v>
          </cell>
          <cell r="M199">
            <v>0</v>
          </cell>
          <cell r="N199">
            <v>0</v>
          </cell>
          <cell r="O199">
            <v>0</v>
          </cell>
        </row>
        <row r="200">
          <cell r="K200">
            <v>0</v>
          </cell>
          <cell r="L200">
            <v>0</v>
          </cell>
          <cell r="M200">
            <v>0</v>
          </cell>
          <cell r="N200">
            <v>0</v>
          </cell>
          <cell r="O200">
            <v>0</v>
          </cell>
        </row>
        <row r="201">
          <cell r="K201">
            <v>0</v>
          </cell>
          <cell r="L201">
            <v>0</v>
          </cell>
          <cell r="M201">
            <v>0</v>
          </cell>
          <cell r="N201">
            <v>0</v>
          </cell>
          <cell r="O201">
            <v>0</v>
          </cell>
        </row>
        <row r="202">
          <cell r="K202">
            <v>0</v>
          </cell>
          <cell r="L202">
            <v>0</v>
          </cell>
          <cell r="M202">
            <v>0</v>
          </cell>
          <cell r="N202">
            <v>0</v>
          </cell>
          <cell r="O202">
            <v>0</v>
          </cell>
        </row>
        <row r="203">
          <cell r="K203">
            <v>0</v>
          </cell>
          <cell r="L203">
            <v>0</v>
          </cell>
          <cell r="M203">
            <v>0</v>
          </cell>
          <cell r="N203">
            <v>0</v>
          </cell>
          <cell r="O203">
            <v>0</v>
          </cell>
        </row>
        <row r="204">
          <cell r="K204">
            <v>0</v>
          </cell>
          <cell r="L204">
            <v>0</v>
          </cell>
          <cell r="M204">
            <v>0</v>
          </cell>
          <cell r="N204">
            <v>0</v>
          </cell>
          <cell r="O204">
            <v>0</v>
          </cell>
        </row>
        <row r="205">
          <cell r="K205">
            <v>0</v>
          </cell>
          <cell r="L205">
            <v>0</v>
          </cell>
          <cell r="M205">
            <v>0</v>
          </cell>
          <cell r="N205">
            <v>0</v>
          </cell>
          <cell r="O205">
            <v>0</v>
          </cell>
        </row>
        <row r="206">
          <cell r="K206">
            <v>0</v>
          </cell>
          <cell r="L206">
            <v>0</v>
          </cell>
          <cell r="M206">
            <v>0</v>
          </cell>
          <cell r="N206">
            <v>0</v>
          </cell>
          <cell r="O206">
            <v>0</v>
          </cell>
        </row>
        <row r="207">
          <cell r="K207">
            <v>0</v>
          </cell>
          <cell r="L207">
            <v>0</v>
          </cell>
          <cell r="M207">
            <v>0</v>
          </cell>
          <cell r="N207">
            <v>0</v>
          </cell>
          <cell r="O207">
            <v>0</v>
          </cell>
        </row>
        <row r="208">
          <cell r="K208">
            <v>0</v>
          </cell>
          <cell r="L208">
            <v>0</v>
          </cell>
          <cell r="M208">
            <v>0</v>
          </cell>
          <cell r="N208">
            <v>0</v>
          </cell>
          <cell r="O208">
            <v>0</v>
          </cell>
        </row>
        <row r="209">
          <cell r="K209">
            <v>0</v>
          </cell>
          <cell r="L209">
            <v>0</v>
          </cell>
          <cell r="M209">
            <v>0</v>
          </cell>
          <cell r="N209">
            <v>0</v>
          </cell>
          <cell r="O209">
            <v>0</v>
          </cell>
        </row>
        <row r="210">
          <cell r="K210">
            <v>0</v>
          </cell>
          <cell r="L210">
            <v>0</v>
          </cell>
          <cell r="M210">
            <v>0</v>
          </cell>
          <cell r="N210">
            <v>0</v>
          </cell>
          <cell r="O210">
            <v>0</v>
          </cell>
        </row>
        <row r="211">
          <cell r="K211">
            <v>0</v>
          </cell>
          <cell r="L211">
            <v>0</v>
          </cell>
          <cell r="M211">
            <v>0</v>
          </cell>
          <cell r="N211">
            <v>0</v>
          </cell>
          <cell r="O211">
            <v>0</v>
          </cell>
        </row>
        <row r="212">
          <cell r="K212">
            <v>0</v>
          </cell>
          <cell r="L212">
            <v>0</v>
          </cell>
          <cell r="M212">
            <v>0</v>
          </cell>
          <cell r="N212">
            <v>0</v>
          </cell>
          <cell r="O212">
            <v>0</v>
          </cell>
        </row>
        <row r="213">
          <cell r="K213">
            <v>0</v>
          </cell>
          <cell r="L213">
            <v>0</v>
          </cell>
          <cell r="M213">
            <v>0</v>
          </cell>
          <cell r="N213">
            <v>0</v>
          </cell>
          <cell r="O213">
            <v>0</v>
          </cell>
        </row>
        <row r="214">
          <cell r="K214">
            <v>0</v>
          </cell>
          <cell r="L214">
            <v>0</v>
          </cell>
          <cell r="M214">
            <v>0</v>
          </cell>
          <cell r="N214">
            <v>0</v>
          </cell>
          <cell r="O214">
            <v>0</v>
          </cell>
        </row>
        <row r="215">
          <cell r="K215">
            <v>0</v>
          </cell>
          <cell r="L215">
            <v>0</v>
          </cell>
          <cell r="M215">
            <v>0</v>
          </cell>
          <cell r="N215">
            <v>0</v>
          </cell>
          <cell r="O215">
            <v>0</v>
          </cell>
        </row>
        <row r="216">
          <cell r="K216">
            <v>0</v>
          </cell>
          <cell r="L216">
            <v>0</v>
          </cell>
          <cell r="M216">
            <v>0</v>
          </cell>
          <cell r="N216">
            <v>0</v>
          </cell>
          <cell r="O216">
            <v>0</v>
          </cell>
        </row>
        <row r="217">
          <cell r="K217">
            <v>0</v>
          </cell>
          <cell r="L217">
            <v>0</v>
          </cell>
          <cell r="M217">
            <v>0</v>
          </cell>
          <cell r="N217">
            <v>0</v>
          </cell>
          <cell r="O217">
            <v>0</v>
          </cell>
        </row>
        <row r="218">
          <cell r="K218">
            <v>0</v>
          </cell>
          <cell r="L218">
            <v>0</v>
          </cell>
          <cell r="M218">
            <v>0</v>
          </cell>
          <cell r="N218">
            <v>0</v>
          </cell>
          <cell r="O218">
            <v>0</v>
          </cell>
        </row>
        <row r="219">
          <cell r="K219">
            <v>0</v>
          </cell>
          <cell r="L219">
            <v>0</v>
          </cell>
          <cell r="M219">
            <v>0</v>
          </cell>
          <cell r="N219">
            <v>0</v>
          </cell>
          <cell r="O219">
            <v>0</v>
          </cell>
        </row>
        <row r="220">
          <cell r="K220">
            <v>0</v>
          </cell>
          <cell r="L220">
            <v>0</v>
          </cell>
          <cell r="M220">
            <v>0</v>
          </cell>
          <cell r="N220">
            <v>0</v>
          </cell>
          <cell r="O220">
            <v>0</v>
          </cell>
        </row>
        <row r="221">
          <cell r="K221">
            <v>0</v>
          </cell>
          <cell r="L221">
            <v>0</v>
          </cell>
          <cell r="M221">
            <v>0</v>
          </cell>
          <cell r="N221">
            <v>0</v>
          </cell>
          <cell r="O221">
            <v>0</v>
          </cell>
        </row>
        <row r="222">
          <cell r="K222">
            <v>0</v>
          </cell>
          <cell r="L222">
            <v>0</v>
          </cell>
          <cell r="M222">
            <v>0</v>
          </cell>
          <cell r="N222">
            <v>0</v>
          </cell>
          <cell r="O222">
            <v>0</v>
          </cell>
        </row>
        <row r="223">
          <cell r="K223">
            <v>0</v>
          </cell>
          <cell r="L223">
            <v>0</v>
          </cell>
          <cell r="M223">
            <v>0</v>
          </cell>
          <cell r="N223">
            <v>0</v>
          </cell>
          <cell r="O223">
            <v>0</v>
          </cell>
        </row>
        <row r="224">
          <cell r="K224">
            <v>0</v>
          </cell>
          <cell r="L224">
            <v>0</v>
          </cell>
          <cell r="M224">
            <v>0</v>
          </cell>
          <cell r="N224">
            <v>0</v>
          </cell>
          <cell r="O224">
            <v>0</v>
          </cell>
        </row>
        <row r="225">
          <cell r="K225">
            <v>0</v>
          </cell>
          <cell r="L225">
            <v>0</v>
          </cell>
          <cell r="M225">
            <v>0</v>
          </cell>
          <cell r="N225">
            <v>0</v>
          </cell>
          <cell r="O225">
            <v>0</v>
          </cell>
        </row>
        <row r="226">
          <cell r="K226">
            <v>0</v>
          </cell>
          <cell r="L226">
            <v>0</v>
          </cell>
          <cell r="M226">
            <v>0</v>
          </cell>
          <cell r="N226">
            <v>0</v>
          </cell>
          <cell r="O226">
            <v>0</v>
          </cell>
        </row>
        <row r="227">
          <cell r="K227">
            <v>0</v>
          </cell>
          <cell r="L227">
            <v>0</v>
          </cell>
          <cell r="M227">
            <v>0</v>
          </cell>
          <cell r="N227">
            <v>0</v>
          </cell>
          <cell r="O227">
            <v>0</v>
          </cell>
        </row>
        <row r="228">
          <cell r="K228">
            <v>0</v>
          </cell>
          <cell r="L228">
            <v>0</v>
          </cell>
          <cell r="M228">
            <v>0</v>
          </cell>
          <cell r="N228">
            <v>0</v>
          </cell>
          <cell r="O228">
            <v>0</v>
          </cell>
        </row>
        <row r="229">
          <cell r="K229">
            <v>0</v>
          </cell>
          <cell r="L229">
            <v>0</v>
          </cell>
          <cell r="M229">
            <v>0</v>
          </cell>
          <cell r="N229">
            <v>0</v>
          </cell>
          <cell r="O229">
            <v>0</v>
          </cell>
        </row>
        <row r="230">
          <cell r="K230">
            <v>0</v>
          </cell>
          <cell r="L230">
            <v>0</v>
          </cell>
          <cell r="M230">
            <v>0</v>
          </cell>
          <cell r="N230">
            <v>0</v>
          </cell>
          <cell r="O230">
            <v>0</v>
          </cell>
        </row>
        <row r="231">
          <cell r="K231">
            <v>0</v>
          </cell>
          <cell r="L231">
            <v>0</v>
          </cell>
          <cell r="M231">
            <v>0</v>
          </cell>
          <cell r="N231">
            <v>0</v>
          </cell>
          <cell r="O231">
            <v>0</v>
          </cell>
        </row>
        <row r="232">
          <cell r="K232">
            <v>0</v>
          </cell>
          <cell r="L232">
            <v>0</v>
          </cell>
          <cell r="M232">
            <v>0</v>
          </cell>
          <cell r="N232">
            <v>0</v>
          </cell>
          <cell r="O232">
            <v>0</v>
          </cell>
        </row>
        <row r="233">
          <cell r="K233">
            <v>0</v>
          </cell>
          <cell r="L233">
            <v>0</v>
          </cell>
          <cell r="M233">
            <v>0</v>
          </cell>
          <cell r="N233">
            <v>0</v>
          </cell>
          <cell r="O233">
            <v>0</v>
          </cell>
        </row>
        <row r="234">
          <cell r="K234">
            <v>0</v>
          </cell>
          <cell r="L234">
            <v>0</v>
          </cell>
          <cell r="M234">
            <v>0</v>
          </cell>
          <cell r="N234">
            <v>0</v>
          </cell>
          <cell r="O234">
            <v>0</v>
          </cell>
        </row>
        <row r="235">
          <cell r="K235">
            <v>0</v>
          </cell>
          <cell r="L235">
            <v>0</v>
          </cell>
          <cell r="M235">
            <v>0</v>
          </cell>
          <cell r="N235">
            <v>0</v>
          </cell>
          <cell r="O235">
            <v>0</v>
          </cell>
        </row>
        <row r="236">
          <cell r="K236">
            <v>0</v>
          </cell>
          <cell r="L236">
            <v>0</v>
          </cell>
          <cell r="M236">
            <v>0</v>
          </cell>
          <cell r="N236">
            <v>0</v>
          </cell>
          <cell r="O236">
            <v>0</v>
          </cell>
        </row>
        <row r="237">
          <cell r="K237">
            <v>2016</v>
          </cell>
          <cell r="L237" t="str">
            <v>Q4</v>
          </cell>
          <cell r="M237">
            <v>2016</v>
          </cell>
          <cell r="N237">
            <v>1.7231082025541647E-2</v>
          </cell>
          <cell r="O237">
            <v>1.7231082025541647E-2</v>
          </cell>
        </row>
        <row r="238">
          <cell r="K238">
            <v>2018</v>
          </cell>
          <cell r="L238" t="str">
            <v>Q1</v>
          </cell>
          <cell r="M238">
            <v>2019</v>
          </cell>
          <cell r="N238">
            <v>2.9252176123006547E-2</v>
          </cell>
          <cell r="O238">
            <v>2.9252176123006547E-2</v>
          </cell>
        </row>
        <row r="239">
          <cell r="K239">
            <v>2019</v>
          </cell>
          <cell r="L239" t="str">
            <v>Q4</v>
          </cell>
          <cell r="M239">
            <v>2019</v>
          </cell>
          <cell r="N239">
            <v>2.7924264565728447E-2</v>
          </cell>
          <cell r="O239">
            <v>2.7924264565728447E-2</v>
          </cell>
        </row>
        <row r="240">
          <cell r="K240">
            <v>2017</v>
          </cell>
          <cell r="L240" t="str">
            <v>Q3</v>
          </cell>
          <cell r="M240">
            <v>2017</v>
          </cell>
          <cell r="N240">
            <v>2.5592477285723364E-2</v>
          </cell>
          <cell r="O240">
            <v>2.5592477285723364E-2</v>
          </cell>
        </row>
        <row r="241">
          <cell r="K241">
            <v>0</v>
          </cell>
          <cell r="L241">
            <v>0</v>
          </cell>
          <cell r="M241">
            <v>0</v>
          </cell>
          <cell r="N241">
            <v>0</v>
          </cell>
          <cell r="O241">
            <v>0</v>
          </cell>
        </row>
        <row r="242">
          <cell r="K242">
            <v>0</v>
          </cell>
          <cell r="L242">
            <v>0</v>
          </cell>
          <cell r="M242">
            <v>0</v>
          </cell>
          <cell r="N242">
            <v>0</v>
          </cell>
          <cell r="O242">
            <v>0</v>
          </cell>
        </row>
        <row r="243">
          <cell r="K243">
            <v>0</v>
          </cell>
          <cell r="L243">
            <v>0</v>
          </cell>
          <cell r="M243">
            <v>0</v>
          </cell>
          <cell r="N243">
            <v>0</v>
          </cell>
          <cell r="O243">
            <v>0</v>
          </cell>
        </row>
        <row r="244">
          <cell r="K244">
            <v>0</v>
          </cell>
          <cell r="L244">
            <v>0</v>
          </cell>
          <cell r="M244">
            <v>0</v>
          </cell>
          <cell r="N244">
            <v>0</v>
          </cell>
          <cell r="O244">
            <v>0</v>
          </cell>
        </row>
        <row r="245">
          <cell r="K245">
            <v>0</v>
          </cell>
          <cell r="L245">
            <v>0</v>
          </cell>
          <cell r="M245">
            <v>0</v>
          </cell>
          <cell r="N245">
            <v>0</v>
          </cell>
          <cell r="O245">
            <v>0</v>
          </cell>
        </row>
        <row r="246">
          <cell r="K246">
            <v>0</v>
          </cell>
          <cell r="L246">
            <v>0</v>
          </cell>
          <cell r="M246">
            <v>0</v>
          </cell>
          <cell r="N246">
            <v>0</v>
          </cell>
          <cell r="O246">
            <v>0</v>
          </cell>
        </row>
        <row r="247">
          <cell r="K247">
            <v>0</v>
          </cell>
          <cell r="L247">
            <v>0</v>
          </cell>
          <cell r="M247">
            <v>0</v>
          </cell>
          <cell r="N247">
            <v>0</v>
          </cell>
          <cell r="O247">
            <v>0</v>
          </cell>
        </row>
        <row r="248">
          <cell r="K248">
            <v>0</v>
          </cell>
          <cell r="L248">
            <v>0</v>
          </cell>
          <cell r="M248">
            <v>0</v>
          </cell>
          <cell r="N248">
            <v>0</v>
          </cell>
          <cell r="O248">
            <v>0</v>
          </cell>
        </row>
        <row r="249">
          <cell r="K249">
            <v>0</v>
          </cell>
          <cell r="L249">
            <v>0</v>
          </cell>
          <cell r="M249">
            <v>0</v>
          </cell>
          <cell r="N249">
            <v>0</v>
          </cell>
          <cell r="O249">
            <v>0</v>
          </cell>
        </row>
        <row r="250">
          <cell r="K250">
            <v>0</v>
          </cell>
          <cell r="L250">
            <v>0</v>
          </cell>
          <cell r="M250">
            <v>0</v>
          </cell>
          <cell r="N250">
            <v>0</v>
          </cell>
          <cell r="O250">
            <v>0</v>
          </cell>
        </row>
        <row r="251">
          <cell r="K251">
            <v>0</v>
          </cell>
          <cell r="L251">
            <v>0</v>
          </cell>
          <cell r="M251">
            <v>0</v>
          </cell>
          <cell r="N251">
            <v>0</v>
          </cell>
          <cell r="O251">
            <v>0</v>
          </cell>
        </row>
        <row r="252">
          <cell r="K252">
            <v>0</v>
          </cell>
          <cell r="L252">
            <v>0</v>
          </cell>
          <cell r="M252">
            <v>0</v>
          </cell>
          <cell r="N252">
            <v>0</v>
          </cell>
          <cell r="O252">
            <v>0</v>
          </cell>
        </row>
        <row r="253">
          <cell r="K253">
            <v>0</v>
          </cell>
          <cell r="L253">
            <v>0</v>
          </cell>
          <cell r="M253">
            <v>0</v>
          </cell>
          <cell r="N253">
            <v>0</v>
          </cell>
          <cell r="O253">
            <v>0</v>
          </cell>
        </row>
        <row r="254">
          <cell r="K254">
            <v>0</v>
          </cell>
          <cell r="L254">
            <v>0</v>
          </cell>
          <cell r="M254">
            <v>0</v>
          </cell>
          <cell r="N254">
            <v>0</v>
          </cell>
          <cell r="O254">
            <v>0</v>
          </cell>
        </row>
        <row r="255">
          <cell r="K255">
            <v>0</v>
          </cell>
          <cell r="L255">
            <v>0</v>
          </cell>
          <cell r="M255">
            <v>0</v>
          </cell>
          <cell r="N255">
            <v>0</v>
          </cell>
          <cell r="O255">
            <v>0</v>
          </cell>
        </row>
        <row r="256">
          <cell r="K256">
            <v>0</v>
          </cell>
          <cell r="L256">
            <v>0</v>
          </cell>
          <cell r="M256">
            <v>0</v>
          </cell>
          <cell r="N256">
            <v>0</v>
          </cell>
          <cell r="O256">
            <v>0</v>
          </cell>
        </row>
        <row r="257">
          <cell r="K257">
            <v>0</v>
          </cell>
          <cell r="L257">
            <v>0</v>
          </cell>
          <cell r="M257">
            <v>0</v>
          </cell>
          <cell r="N257">
            <v>0</v>
          </cell>
          <cell r="O257">
            <v>0</v>
          </cell>
        </row>
        <row r="258">
          <cell r="K258">
            <v>0</v>
          </cell>
          <cell r="L258">
            <v>0</v>
          </cell>
          <cell r="M258">
            <v>0</v>
          </cell>
          <cell r="N258">
            <v>0</v>
          </cell>
          <cell r="O258">
            <v>0</v>
          </cell>
        </row>
        <row r="259">
          <cell r="K259">
            <v>0</v>
          </cell>
          <cell r="L259">
            <v>0</v>
          </cell>
          <cell r="M259">
            <v>0</v>
          </cell>
          <cell r="N259">
            <v>0</v>
          </cell>
          <cell r="O259">
            <v>0</v>
          </cell>
        </row>
        <row r="260">
          <cell r="K260">
            <v>0</v>
          </cell>
          <cell r="L260">
            <v>0</v>
          </cell>
          <cell r="M260">
            <v>0</v>
          </cell>
          <cell r="N260">
            <v>0</v>
          </cell>
          <cell r="O260">
            <v>0</v>
          </cell>
        </row>
        <row r="261">
          <cell r="K261">
            <v>0</v>
          </cell>
          <cell r="L261">
            <v>0</v>
          </cell>
          <cell r="M261">
            <v>0</v>
          </cell>
          <cell r="N261">
            <v>0</v>
          </cell>
          <cell r="O261">
            <v>0</v>
          </cell>
        </row>
        <row r="262">
          <cell r="K262">
            <v>0</v>
          </cell>
          <cell r="L262">
            <v>0</v>
          </cell>
          <cell r="M262">
            <v>0</v>
          </cell>
          <cell r="N262">
            <v>0</v>
          </cell>
          <cell r="O262">
            <v>0</v>
          </cell>
        </row>
        <row r="263">
          <cell r="K263">
            <v>0</v>
          </cell>
          <cell r="L263">
            <v>0</v>
          </cell>
          <cell r="M263">
            <v>0</v>
          </cell>
          <cell r="N263">
            <v>0</v>
          </cell>
          <cell r="O263">
            <v>0</v>
          </cell>
        </row>
        <row r="264">
          <cell r="K264">
            <v>0</v>
          </cell>
          <cell r="L264">
            <v>0</v>
          </cell>
          <cell r="M264">
            <v>0</v>
          </cell>
          <cell r="N264">
            <v>0</v>
          </cell>
          <cell r="O264">
            <v>0</v>
          </cell>
        </row>
        <row r="265">
          <cell r="K265">
            <v>0</v>
          </cell>
          <cell r="L265">
            <v>0</v>
          </cell>
          <cell r="M265">
            <v>0</v>
          </cell>
          <cell r="N265">
            <v>0</v>
          </cell>
          <cell r="O265">
            <v>0</v>
          </cell>
        </row>
        <row r="266">
          <cell r="K266">
            <v>0</v>
          </cell>
          <cell r="L266">
            <v>0</v>
          </cell>
          <cell r="M266">
            <v>0</v>
          </cell>
          <cell r="N266">
            <v>0</v>
          </cell>
          <cell r="O266">
            <v>0</v>
          </cell>
        </row>
        <row r="267">
          <cell r="K267">
            <v>0</v>
          </cell>
          <cell r="L267">
            <v>0</v>
          </cell>
          <cell r="M267">
            <v>0</v>
          </cell>
          <cell r="N267">
            <v>0</v>
          </cell>
          <cell r="O267">
            <v>0</v>
          </cell>
        </row>
        <row r="268">
          <cell r="K268">
            <v>0</v>
          </cell>
          <cell r="L268">
            <v>0</v>
          </cell>
          <cell r="M268">
            <v>0</v>
          </cell>
          <cell r="N268">
            <v>0</v>
          </cell>
          <cell r="O268">
            <v>0</v>
          </cell>
        </row>
        <row r="269">
          <cell r="K269">
            <v>0</v>
          </cell>
          <cell r="L269">
            <v>0</v>
          </cell>
          <cell r="M269">
            <v>0</v>
          </cell>
          <cell r="N269">
            <v>0</v>
          </cell>
          <cell r="O269">
            <v>0</v>
          </cell>
        </row>
        <row r="270">
          <cell r="K270">
            <v>0</v>
          </cell>
          <cell r="L270">
            <v>0</v>
          </cell>
          <cell r="M270">
            <v>0</v>
          </cell>
          <cell r="N270">
            <v>0</v>
          </cell>
          <cell r="O270">
            <v>0</v>
          </cell>
        </row>
        <row r="271">
          <cell r="K271">
            <v>0</v>
          </cell>
          <cell r="L271">
            <v>0</v>
          </cell>
          <cell r="M271">
            <v>0</v>
          </cell>
          <cell r="N271">
            <v>0</v>
          </cell>
          <cell r="O271">
            <v>0</v>
          </cell>
        </row>
        <row r="272">
          <cell r="K272">
            <v>0</v>
          </cell>
          <cell r="L272">
            <v>0</v>
          </cell>
          <cell r="M272">
            <v>0</v>
          </cell>
          <cell r="N272">
            <v>0</v>
          </cell>
          <cell r="O272">
            <v>0</v>
          </cell>
        </row>
        <row r="273">
          <cell r="K273">
            <v>0</v>
          </cell>
          <cell r="L273">
            <v>0</v>
          </cell>
          <cell r="M273">
            <v>0</v>
          </cell>
          <cell r="N273">
            <v>0</v>
          </cell>
          <cell r="O273">
            <v>0</v>
          </cell>
        </row>
        <row r="274">
          <cell r="K274">
            <v>0</v>
          </cell>
          <cell r="L274">
            <v>0</v>
          </cell>
          <cell r="M274">
            <v>0</v>
          </cell>
          <cell r="N274">
            <v>0</v>
          </cell>
          <cell r="O274">
            <v>0</v>
          </cell>
        </row>
        <row r="275">
          <cell r="K275">
            <v>0</v>
          </cell>
          <cell r="L275">
            <v>0</v>
          </cell>
          <cell r="M275">
            <v>0</v>
          </cell>
          <cell r="N275">
            <v>0</v>
          </cell>
          <cell r="O275">
            <v>0</v>
          </cell>
        </row>
        <row r="276">
          <cell r="K276">
            <v>0</v>
          </cell>
          <cell r="L276">
            <v>0</v>
          </cell>
          <cell r="M276">
            <v>0</v>
          </cell>
          <cell r="N276">
            <v>0</v>
          </cell>
          <cell r="O276">
            <v>0</v>
          </cell>
        </row>
        <row r="277">
          <cell r="K277">
            <v>0</v>
          </cell>
          <cell r="L277">
            <v>0</v>
          </cell>
          <cell r="M277">
            <v>0</v>
          </cell>
          <cell r="N277">
            <v>0</v>
          </cell>
          <cell r="O277">
            <v>0</v>
          </cell>
        </row>
        <row r="278">
          <cell r="K278">
            <v>0</v>
          </cell>
          <cell r="L278">
            <v>0</v>
          </cell>
          <cell r="M278">
            <v>0</v>
          </cell>
          <cell r="N278">
            <v>0</v>
          </cell>
          <cell r="O278">
            <v>0</v>
          </cell>
        </row>
        <row r="279">
          <cell r="K279">
            <v>0</v>
          </cell>
          <cell r="L279">
            <v>0</v>
          </cell>
          <cell r="M279">
            <v>0</v>
          </cell>
          <cell r="N279">
            <v>0</v>
          </cell>
          <cell r="O279">
            <v>0</v>
          </cell>
        </row>
        <row r="280">
          <cell r="K280">
            <v>0</v>
          </cell>
          <cell r="L280">
            <v>0</v>
          </cell>
          <cell r="M280">
            <v>0</v>
          </cell>
          <cell r="N280">
            <v>0</v>
          </cell>
          <cell r="O280">
            <v>0</v>
          </cell>
        </row>
        <row r="281">
          <cell r="K281">
            <v>0</v>
          </cell>
          <cell r="L281">
            <v>0</v>
          </cell>
          <cell r="M281">
            <v>0</v>
          </cell>
          <cell r="N281">
            <v>0</v>
          </cell>
          <cell r="O281">
            <v>0</v>
          </cell>
        </row>
        <row r="282">
          <cell r="K282">
            <v>0</v>
          </cell>
          <cell r="L282">
            <v>0</v>
          </cell>
          <cell r="M282">
            <v>0</v>
          </cell>
          <cell r="N282">
            <v>0</v>
          </cell>
          <cell r="O282">
            <v>0</v>
          </cell>
        </row>
        <row r="283">
          <cell r="K283">
            <v>0</v>
          </cell>
          <cell r="L283">
            <v>0</v>
          </cell>
          <cell r="M283">
            <v>0</v>
          </cell>
          <cell r="N283">
            <v>0</v>
          </cell>
          <cell r="O283">
            <v>0</v>
          </cell>
        </row>
        <row r="284">
          <cell r="K284">
            <v>0</v>
          </cell>
          <cell r="L284">
            <v>0</v>
          </cell>
          <cell r="M284">
            <v>0</v>
          </cell>
          <cell r="N284">
            <v>0</v>
          </cell>
          <cell r="O284">
            <v>0</v>
          </cell>
        </row>
        <row r="285">
          <cell r="K285">
            <v>0</v>
          </cell>
          <cell r="L285">
            <v>0</v>
          </cell>
          <cell r="M285">
            <v>0</v>
          </cell>
          <cell r="N285">
            <v>0</v>
          </cell>
          <cell r="O285">
            <v>0</v>
          </cell>
        </row>
        <row r="286">
          <cell r="K286">
            <v>0</v>
          </cell>
          <cell r="L286">
            <v>0</v>
          </cell>
          <cell r="M286">
            <v>0</v>
          </cell>
          <cell r="N286">
            <v>0</v>
          </cell>
          <cell r="O286">
            <v>0</v>
          </cell>
        </row>
        <row r="287">
          <cell r="K287">
            <v>0</v>
          </cell>
          <cell r="L287">
            <v>0</v>
          </cell>
          <cell r="M287">
            <v>0</v>
          </cell>
          <cell r="N287">
            <v>0</v>
          </cell>
          <cell r="O287">
            <v>0</v>
          </cell>
        </row>
        <row r="288">
          <cell r="K288">
            <v>0</v>
          </cell>
          <cell r="L288">
            <v>0</v>
          </cell>
          <cell r="M288">
            <v>0</v>
          </cell>
          <cell r="N288">
            <v>0</v>
          </cell>
          <cell r="O288">
            <v>0</v>
          </cell>
        </row>
        <row r="289">
          <cell r="K289">
            <v>0</v>
          </cell>
          <cell r="L289">
            <v>0</v>
          </cell>
          <cell r="M289">
            <v>0</v>
          </cell>
          <cell r="N289">
            <v>0</v>
          </cell>
          <cell r="O289">
            <v>0</v>
          </cell>
        </row>
        <row r="290">
          <cell r="K290">
            <v>0</v>
          </cell>
          <cell r="L290">
            <v>0</v>
          </cell>
          <cell r="M290">
            <v>0</v>
          </cell>
          <cell r="N290">
            <v>0</v>
          </cell>
          <cell r="O290">
            <v>0</v>
          </cell>
        </row>
        <row r="291">
          <cell r="K291">
            <v>0</v>
          </cell>
          <cell r="L291">
            <v>0</v>
          </cell>
          <cell r="M291">
            <v>0</v>
          </cell>
          <cell r="N291">
            <v>0</v>
          </cell>
          <cell r="O291">
            <v>0</v>
          </cell>
        </row>
        <row r="292">
          <cell r="K292">
            <v>0</v>
          </cell>
          <cell r="L292">
            <v>0</v>
          </cell>
          <cell r="M292">
            <v>0</v>
          </cell>
          <cell r="N292">
            <v>0</v>
          </cell>
          <cell r="O292">
            <v>0</v>
          </cell>
        </row>
        <row r="293">
          <cell r="K293">
            <v>0</v>
          </cell>
          <cell r="L293">
            <v>0</v>
          </cell>
          <cell r="M293">
            <v>0</v>
          </cell>
          <cell r="N293">
            <v>0</v>
          </cell>
          <cell r="O293">
            <v>0</v>
          </cell>
        </row>
        <row r="294">
          <cell r="K294">
            <v>0</v>
          </cell>
          <cell r="L294">
            <v>0</v>
          </cell>
          <cell r="M294">
            <v>0</v>
          </cell>
          <cell r="N294">
            <v>0</v>
          </cell>
          <cell r="O294">
            <v>0</v>
          </cell>
        </row>
        <row r="295">
          <cell r="K295">
            <v>0</v>
          </cell>
          <cell r="L295">
            <v>0</v>
          </cell>
          <cell r="M295">
            <v>0</v>
          </cell>
          <cell r="N295">
            <v>0</v>
          </cell>
          <cell r="O295">
            <v>0</v>
          </cell>
        </row>
        <row r="296">
          <cell r="K296">
            <v>0</v>
          </cell>
          <cell r="L296">
            <v>0</v>
          </cell>
          <cell r="M296">
            <v>0</v>
          </cell>
          <cell r="N296">
            <v>0</v>
          </cell>
          <cell r="O296">
            <v>0</v>
          </cell>
        </row>
        <row r="297">
          <cell r="K297">
            <v>0</v>
          </cell>
          <cell r="L297">
            <v>0</v>
          </cell>
          <cell r="M297">
            <v>0</v>
          </cell>
          <cell r="N297">
            <v>0</v>
          </cell>
          <cell r="O297">
            <v>0</v>
          </cell>
        </row>
        <row r="298">
          <cell r="K298">
            <v>0</v>
          </cell>
          <cell r="L298">
            <v>0</v>
          </cell>
          <cell r="M298">
            <v>0</v>
          </cell>
          <cell r="N298">
            <v>0</v>
          </cell>
          <cell r="O298">
            <v>0</v>
          </cell>
        </row>
        <row r="299">
          <cell r="K299">
            <v>0</v>
          </cell>
          <cell r="L299">
            <v>0</v>
          </cell>
          <cell r="M299">
            <v>0</v>
          </cell>
          <cell r="N299">
            <v>0</v>
          </cell>
          <cell r="O299">
            <v>0</v>
          </cell>
        </row>
        <row r="300">
          <cell r="K300">
            <v>0</v>
          </cell>
          <cell r="L300">
            <v>0</v>
          </cell>
          <cell r="M300">
            <v>0</v>
          </cell>
          <cell r="N300">
            <v>0</v>
          </cell>
          <cell r="O300">
            <v>0</v>
          </cell>
        </row>
        <row r="301">
          <cell r="K301">
            <v>0</v>
          </cell>
          <cell r="L301">
            <v>0</v>
          </cell>
          <cell r="M301">
            <v>0</v>
          </cell>
          <cell r="N301">
            <v>0</v>
          </cell>
          <cell r="O301">
            <v>0</v>
          </cell>
        </row>
        <row r="302">
          <cell r="K302">
            <v>0</v>
          </cell>
          <cell r="L302">
            <v>0</v>
          </cell>
          <cell r="M302">
            <v>0</v>
          </cell>
          <cell r="N302">
            <v>0</v>
          </cell>
          <cell r="O302">
            <v>0</v>
          </cell>
        </row>
        <row r="303">
          <cell r="K303">
            <v>2016</v>
          </cell>
          <cell r="L303" t="str">
            <v>Q4</v>
          </cell>
          <cell r="M303">
            <v>2016</v>
          </cell>
          <cell r="N303">
            <v>1.7231082025541647E-2</v>
          </cell>
          <cell r="O303">
            <v>1.7231082025541647E-2</v>
          </cell>
        </row>
        <row r="304">
          <cell r="K304">
            <v>2018</v>
          </cell>
          <cell r="L304" t="str">
            <v>Q2</v>
          </cell>
          <cell r="M304">
            <v>2019</v>
          </cell>
          <cell r="N304">
            <v>2.9252176123006547E-2</v>
          </cell>
          <cell r="O304">
            <v>2.9252176123006547E-2</v>
          </cell>
        </row>
        <row r="305">
          <cell r="K305">
            <v>2019</v>
          </cell>
          <cell r="L305" t="str">
            <v>Q4</v>
          </cell>
          <cell r="M305">
            <v>2019</v>
          </cell>
          <cell r="N305">
            <v>2.7924264565728447E-2</v>
          </cell>
          <cell r="O305">
            <v>2.7924264565728447E-2</v>
          </cell>
        </row>
        <row r="306">
          <cell r="K306">
            <v>2017</v>
          </cell>
          <cell r="L306" t="str">
            <v>Q4</v>
          </cell>
          <cell r="M306">
            <v>2017</v>
          </cell>
          <cell r="N306">
            <v>2.5592477285723364E-2</v>
          </cell>
          <cell r="O306">
            <v>2.5592477285723364E-2</v>
          </cell>
        </row>
        <row r="307">
          <cell r="K307">
            <v>0</v>
          </cell>
          <cell r="L307">
            <v>0</v>
          </cell>
          <cell r="M307">
            <v>0</v>
          </cell>
          <cell r="N307">
            <v>0</v>
          </cell>
          <cell r="O307">
            <v>0</v>
          </cell>
        </row>
        <row r="308">
          <cell r="K308">
            <v>0</v>
          </cell>
          <cell r="L308">
            <v>0</v>
          </cell>
          <cell r="M308">
            <v>0</v>
          </cell>
          <cell r="N308">
            <v>0</v>
          </cell>
          <cell r="O308">
            <v>0</v>
          </cell>
        </row>
        <row r="309">
          <cell r="K309">
            <v>0</v>
          </cell>
          <cell r="L309">
            <v>0</v>
          </cell>
          <cell r="M309">
            <v>0</v>
          </cell>
          <cell r="N309">
            <v>0</v>
          </cell>
          <cell r="O309">
            <v>0</v>
          </cell>
        </row>
        <row r="310">
          <cell r="K310">
            <v>0</v>
          </cell>
          <cell r="L310">
            <v>0</v>
          </cell>
          <cell r="M310">
            <v>0</v>
          </cell>
          <cell r="N310">
            <v>0</v>
          </cell>
          <cell r="O310">
            <v>0</v>
          </cell>
        </row>
        <row r="311">
          <cell r="K311">
            <v>0</v>
          </cell>
          <cell r="L311">
            <v>0</v>
          </cell>
          <cell r="M311">
            <v>0</v>
          </cell>
          <cell r="N311">
            <v>0</v>
          </cell>
          <cell r="O311">
            <v>0</v>
          </cell>
        </row>
        <row r="312">
          <cell r="K312">
            <v>0</v>
          </cell>
          <cell r="L312">
            <v>0</v>
          </cell>
          <cell r="M312">
            <v>0</v>
          </cell>
          <cell r="N312">
            <v>0</v>
          </cell>
          <cell r="O312">
            <v>0</v>
          </cell>
        </row>
        <row r="313">
          <cell r="K313">
            <v>0</v>
          </cell>
          <cell r="L313">
            <v>0</v>
          </cell>
          <cell r="M313">
            <v>0</v>
          </cell>
          <cell r="N313">
            <v>0</v>
          </cell>
          <cell r="O313">
            <v>0</v>
          </cell>
        </row>
        <row r="314">
          <cell r="K314">
            <v>0</v>
          </cell>
          <cell r="L314">
            <v>0</v>
          </cell>
          <cell r="M314">
            <v>0</v>
          </cell>
          <cell r="N314">
            <v>0</v>
          </cell>
          <cell r="O314">
            <v>0</v>
          </cell>
        </row>
        <row r="315">
          <cell r="K315">
            <v>0</v>
          </cell>
          <cell r="L315">
            <v>0</v>
          </cell>
          <cell r="M315">
            <v>0</v>
          </cell>
          <cell r="N315">
            <v>0</v>
          </cell>
          <cell r="O315">
            <v>0</v>
          </cell>
        </row>
        <row r="316">
          <cell r="K316">
            <v>0</v>
          </cell>
          <cell r="L316">
            <v>0</v>
          </cell>
          <cell r="M316">
            <v>0</v>
          </cell>
          <cell r="N316">
            <v>0</v>
          </cell>
          <cell r="O316">
            <v>0</v>
          </cell>
        </row>
        <row r="317">
          <cell r="K317">
            <v>0</v>
          </cell>
          <cell r="L317">
            <v>0</v>
          </cell>
          <cell r="M317">
            <v>0</v>
          </cell>
          <cell r="N317">
            <v>0</v>
          </cell>
          <cell r="O317">
            <v>0</v>
          </cell>
        </row>
        <row r="318">
          <cell r="K318">
            <v>0</v>
          </cell>
          <cell r="L318">
            <v>0</v>
          </cell>
          <cell r="M318">
            <v>0</v>
          </cell>
          <cell r="N318">
            <v>0</v>
          </cell>
          <cell r="O318">
            <v>0</v>
          </cell>
        </row>
        <row r="319">
          <cell r="K319">
            <v>0</v>
          </cell>
          <cell r="L319">
            <v>0</v>
          </cell>
          <cell r="M319">
            <v>0</v>
          </cell>
          <cell r="N319">
            <v>0</v>
          </cell>
          <cell r="O319">
            <v>0</v>
          </cell>
        </row>
        <row r="320">
          <cell r="K320">
            <v>0</v>
          </cell>
          <cell r="L320">
            <v>0</v>
          </cell>
          <cell r="M320">
            <v>0</v>
          </cell>
          <cell r="N320">
            <v>0</v>
          </cell>
          <cell r="O320">
            <v>0</v>
          </cell>
        </row>
        <row r="321">
          <cell r="K321">
            <v>0</v>
          </cell>
          <cell r="L321">
            <v>0</v>
          </cell>
          <cell r="M321">
            <v>0</v>
          </cell>
          <cell r="N321">
            <v>0</v>
          </cell>
          <cell r="O321">
            <v>0</v>
          </cell>
        </row>
        <row r="322">
          <cell r="K322">
            <v>0</v>
          </cell>
          <cell r="L322">
            <v>0</v>
          </cell>
          <cell r="M322">
            <v>0</v>
          </cell>
          <cell r="N322">
            <v>0</v>
          </cell>
          <cell r="O322">
            <v>0</v>
          </cell>
        </row>
        <row r="323">
          <cell r="K323">
            <v>0</v>
          </cell>
          <cell r="L323">
            <v>0</v>
          </cell>
          <cell r="M323">
            <v>0</v>
          </cell>
          <cell r="N323">
            <v>0</v>
          </cell>
          <cell r="O323">
            <v>0</v>
          </cell>
        </row>
        <row r="324">
          <cell r="K324">
            <v>0</v>
          </cell>
          <cell r="L324">
            <v>0</v>
          </cell>
          <cell r="M324">
            <v>0</v>
          </cell>
          <cell r="N324">
            <v>0</v>
          </cell>
          <cell r="O324">
            <v>0</v>
          </cell>
        </row>
        <row r="325">
          <cell r="K325">
            <v>0</v>
          </cell>
          <cell r="L325">
            <v>0</v>
          </cell>
          <cell r="M325">
            <v>0</v>
          </cell>
          <cell r="N325">
            <v>0</v>
          </cell>
          <cell r="O325">
            <v>0</v>
          </cell>
        </row>
        <row r="326">
          <cell r="K326">
            <v>0</v>
          </cell>
          <cell r="L326">
            <v>0</v>
          </cell>
          <cell r="M326">
            <v>0</v>
          </cell>
          <cell r="N326">
            <v>0</v>
          </cell>
          <cell r="O326">
            <v>0</v>
          </cell>
        </row>
        <row r="327">
          <cell r="K327">
            <v>0</v>
          </cell>
          <cell r="L327">
            <v>0</v>
          </cell>
          <cell r="M327">
            <v>0</v>
          </cell>
          <cell r="N327">
            <v>0</v>
          </cell>
          <cell r="O327">
            <v>0</v>
          </cell>
        </row>
        <row r="328">
          <cell r="K328">
            <v>0</v>
          </cell>
          <cell r="L328">
            <v>0</v>
          </cell>
          <cell r="M328">
            <v>0</v>
          </cell>
          <cell r="N328">
            <v>0</v>
          </cell>
          <cell r="O328">
            <v>0</v>
          </cell>
        </row>
        <row r="329">
          <cell r="K329">
            <v>0</v>
          </cell>
          <cell r="L329">
            <v>0</v>
          </cell>
          <cell r="M329">
            <v>0</v>
          </cell>
          <cell r="N329">
            <v>0</v>
          </cell>
          <cell r="O329">
            <v>0</v>
          </cell>
        </row>
        <row r="330">
          <cell r="K330">
            <v>0</v>
          </cell>
          <cell r="L330">
            <v>0</v>
          </cell>
          <cell r="M330">
            <v>0</v>
          </cell>
          <cell r="N330">
            <v>0</v>
          </cell>
          <cell r="O330">
            <v>0</v>
          </cell>
        </row>
        <row r="331">
          <cell r="K331">
            <v>0</v>
          </cell>
          <cell r="L331">
            <v>0</v>
          </cell>
          <cell r="M331">
            <v>0</v>
          </cell>
          <cell r="N331">
            <v>0</v>
          </cell>
          <cell r="O331">
            <v>0</v>
          </cell>
        </row>
        <row r="332">
          <cell r="K332">
            <v>0</v>
          </cell>
          <cell r="L332">
            <v>0</v>
          </cell>
          <cell r="M332">
            <v>0</v>
          </cell>
          <cell r="N332">
            <v>0</v>
          </cell>
          <cell r="O332">
            <v>0</v>
          </cell>
        </row>
        <row r="333">
          <cell r="K333">
            <v>0</v>
          </cell>
          <cell r="L333">
            <v>0</v>
          </cell>
          <cell r="M333">
            <v>0</v>
          </cell>
          <cell r="N333">
            <v>0</v>
          </cell>
          <cell r="O333">
            <v>0</v>
          </cell>
        </row>
        <row r="334">
          <cell r="K334">
            <v>0</v>
          </cell>
          <cell r="L334">
            <v>0</v>
          </cell>
          <cell r="M334">
            <v>0</v>
          </cell>
          <cell r="N334">
            <v>0</v>
          </cell>
          <cell r="O334">
            <v>0</v>
          </cell>
        </row>
        <row r="335">
          <cell r="K335">
            <v>0</v>
          </cell>
          <cell r="L335">
            <v>0</v>
          </cell>
          <cell r="M335">
            <v>0</v>
          </cell>
          <cell r="N335">
            <v>0</v>
          </cell>
          <cell r="O335">
            <v>0</v>
          </cell>
        </row>
        <row r="336">
          <cell r="K336">
            <v>0</v>
          </cell>
          <cell r="L336">
            <v>0</v>
          </cell>
          <cell r="M336">
            <v>0</v>
          </cell>
          <cell r="N336">
            <v>0</v>
          </cell>
          <cell r="O336">
            <v>0</v>
          </cell>
        </row>
        <row r="337">
          <cell r="K337">
            <v>0</v>
          </cell>
          <cell r="L337">
            <v>0</v>
          </cell>
          <cell r="M337">
            <v>0</v>
          </cell>
          <cell r="N337">
            <v>0</v>
          </cell>
          <cell r="O337">
            <v>0</v>
          </cell>
        </row>
        <row r="338">
          <cell r="K338">
            <v>0</v>
          </cell>
          <cell r="L338">
            <v>0</v>
          </cell>
          <cell r="M338">
            <v>0</v>
          </cell>
          <cell r="N338">
            <v>0</v>
          </cell>
          <cell r="O338">
            <v>0</v>
          </cell>
        </row>
        <row r="339">
          <cell r="K339">
            <v>0</v>
          </cell>
          <cell r="L339">
            <v>0</v>
          </cell>
          <cell r="M339">
            <v>0</v>
          </cell>
          <cell r="N339">
            <v>0</v>
          </cell>
          <cell r="O339">
            <v>0</v>
          </cell>
        </row>
        <row r="340">
          <cell r="K340">
            <v>0</v>
          </cell>
          <cell r="L340">
            <v>0</v>
          </cell>
          <cell r="M340">
            <v>0</v>
          </cell>
          <cell r="N340">
            <v>0</v>
          </cell>
          <cell r="O340">
            <v>0</v>
          </cell>
        </row>
        <row r="341">
          <cell r="K341">
            <v>0</v>
          </cell>
          <cell r="L341">
            <v>0</v>
          </cell>
          <cell r="M341">
            <v>0</v>
          </cell>
          <cell r="N341">
            <v>0</v>
          </cell>
          <cell r="O341">
            <v>0</v>
          </cell>
        </row>
        <row r="342">
          <cell r="K342">
            <v>0</v>
          </cell>
          <cell r="L342">
            <v>0</v>
          </cell>
          <cell r="M342">
            <v>0</v>
          </cell>
          <cell r="N342">
            <v>0</v>
          </cell>
          <cell r="O342">
            <v>0</v>
          </cell>
        </row>
        <row r="343">
          <cell r="K343">
            <v>0</v>
          </cell>
          <cell r="L343">
            <v>0</v>
          </cell>
          <cell r="M343">
            <v>0</v>
          </cell>
          <cell r="N343">
            <v>0</v>
          </cell>
          <cell r="O343">
            <v>0</v>
          </cell>
        </row>
        <row r="344">
          <cell r="K344">
            <v>0</v>
          </cell>
          <cell r="L344">
            <v>0</v>
          </cell>
          <cell r="M344">
            <v>0</v>
          </cell>
          <cell r="N344">
            <v>0</v>
          </cell>
          <cell r="O344">
            <v>0</v>
          </cell>
        </row>
        <row r="345">
          <cell r="K345">
            <v>0</v>
          </cell>
          <cell r="L345">
            <v>0</v>
          </cell>
          <cell r="M345">
            <v>0</v>
          </cell>
          <cell r="N345">
            <v>0</v>
          </cell>
          <cell r="O345">
            <v>0</v>
          </cell>
        </row>
        <row r="346">
          <cell r="K346">
            <v>0</v>
          </cell>
          <cell r="L346">
            <v>0</v>
          </cell>
          <cell r="M346">
            <v>0</v>
          </cell>
          <cell r="N346">
            <v>0</v>
          </cell>
          <cell r="O346">
            <v>0</v>
          </cell>
        </row>
        <row r="347">
          <cell r="K347">
            <v>0</v>
          </cell>
          <cell r="L347">
            <v>0</v>
          </cell>
          <cell r="M347">
            <v>0</v>
          </cell>
          <cell r="N347">
            <v>0</v>
          </cell>
          <cell r="O347">
            <v>0</v>
          </cell>
        </row>
        <row r="348">
          <cell r="K348">
            <v>0</v>
          </cell>
          <cell r="L348">
            <v>0</v>
          </cell>
          <cell r="M348">
            <v>0</v>
          </cell>
          <cell r="N348">
            <v>0</v>
          </cell>
          <cell r="O348">
            <v>0</v>
          </cell>
        </row>
        <row r="349">
          <cell r="K349">
            <v>0</v>
          </cell>
          <cell r="L349">
            <v>0</v>
          </cell>
          <cell r="M349">
            <v>0</v>
          </cell>
          <cell r="N349">
            <v>0</v>
          </cell>
          <cell r="O349">
            <v>0</v>
          </cell>
        </row>
        <row r="350">
          <cell r="K350">
            <v>0</v>
          </cell>
          <cell r="L350">
            <v>0</v>
          </cell>
          <cell r="M350">
            <v>0</v>
          </cell>
          <cell r="N350">
            <v>0</v>
          </cell>
          <cell r="O350">
            <v>0</v>
          </cell>
        </row>
        <row r="351">
          <cell r="K351">
            <v>0</v>
          </cell>
          <cell r="L351">
            <v>0</v>
          </cell>
          <cell r="M351">
            <v>0</v>
          </cell>
          <cell r="N351">
            <v>0</v>
          </cell>
          <cell r="O351">
            <v>0</v>
          </cell>
        </row>
        <row r="352">
          <cell r="K352">
            <v>0</v>
          </cell>
          <cell r="L352">
            <v>0</v>
          </cell>
          <cell r="M352">
            <v>0</v>
          </cell>
          <cell r="N352">
            <v>0</v>
          </cell>
          <cell r="O352">
            <v>0</v>
          </cell>
        </row>
        <row r="353">
          <cell r="K353">
            <v>0</v>
          </cell>
          <cell r="L353">
            <v>0</v>
          </cell>
          <cell r="M353">
            <v>0</v>
          </cell>
          <cell r="N353">
            <v>0</v>
          </cell>
          <cell r="O353">
            <v>0</v>
          </cell>
        </row>
        <row r="354">
          <cell r="K354">
            <v>0</v>
          </cell>
          <cell r="L354">
            <v>0</v>
          </cell>
          <cell r="M354">
            <v>0</v>
          </cell>
          <cell r="N354">
            <v>0</v>
          </cell>
          <cell r="O354">
            <v>0</v>
          </cell>
        </row>
        <row r="355">
          <cell r="K355">
            <v>0</v>
          </cell>
          <cell r="L355">
            <v>0</v>
          </cell>
          <cell r="M355">
            <v>0</v>
          </cell>
          <cell r="N355">
            <v>0</v>
          </cell>
          <cell r="O355">
            <v>0</v>
          </cell>
        </row>
        <row r="356">
          <cell r="K356">
            <v>0</v>
          </cell>
          <cell r="L356">
            <v>0</v>
          </cell>
          <cell r="M356">
            <v>0</v>
          </cell>
          <cell r="N356">
            <v>0</v>
          </cell>
          <cell r="O356">
            <v>0</v>
          </cell>
        </row>
        <row r="357">
          <cell r="K357">
            <v>0</v>
          </cell>
          <cell r="L357">
            <v>0</v>
          </cell>
          <cell r="M357">
            <v>0</v>
          </cell>
          <cell r="N357">
            <v>0</v>
          </cell>
          <cell r="O357">
            <v>0</v>
          </cell>
        </row>
        <row r="358">
          <cell r="K358">
            <v>0</v>
          </cell>
          <cell r="L358">
            <v>0</v>
          </cell>
          <cell r="M358">
            <v>0</v>
          </cell>
          <cell r="N358">
            <v>0</v>
          </cell>
          <cell r="O358">
            <v>0</v>
          </cell>
        </row>
        <row r="359">
          <cell r="K359">
            <v>0</v>
          </cell>
          <cell r="L359">
            <v>0</v>
          </cell>
          <cell r="M359">
            <v>0</v>
          </cell>
          <cell r="N359">
            <v>0</v>
          </cell>
          <cell r="O359">
            <v>0</v>
          </cell>
        </row>
        <row r="360">
          <cell r="K360">
            <v>0</v>
          </cell>
          <cell r="L360">
            <v>0</v>
          </cell>
          <cell r="M360">
            <v>0</v>
          </cell>
          <cell r="N360">
            <v>0</v>
          </cell>
          <cell r="O360">
            <v>0</v>
          </cell>
        </row>
        <row r="361">
          <cell r="K361">
            <v>0</v>
          </cell>
          <cell r="L361">
            <v>0</v>
          </cell>
          <cell r="M361">
            <v>0</v>
          </cell>
          <cell r="N361">
            <v>0</v>
          </cell>
          <cell r="O361">
            <v>0</v>
          </cell>
        </row>
        <row r="362">
          <cell r="K362">
            <v>0</v>
          </cell>
          <cell r="L362">
            <v>0</v>
          </cell>
          <cell r="M362">
            <v>0</v>
          </cell>
          <cell r="N362">
            <v>0</v>
          </cell>
          <cell r="O362">
            <v>0</v>
          </cell>
        </row>
        <row r="363">
          <cell r="K363">
            <v>0</v>
          </cell>
          <cell r="L363">
            <v>0</v>
          </cell>
          <cell r="M363">
            <v>0</v>
          </cell>
          <cell r="N363">
            <v>0</v>
          </cell>
          <cell r="O363">
            <v>0</v>
          </cell>
        </row>
        <row r="364">
          <cell r="K364">
            <v>0</v>
          </cell>
          <cell r="L364">
            <v>0</v>
          </cell>
          <cell r="M364">
            <v>0</v>
          </cell>
          <cell r="N364">
            <v>0</v>
          </cell>
          <cell r="O364">
            <v>0</v>
          </cell>
        </row>
        <row r="365">
          <cell r="K365">
            <v>0</v>
          </cell>
          <cell r="L365">
            <v>0</v>
          </cell>
          <cell r="M365">
            <v>0</v>
          </cell>
          <cell r="N365">
            <v>0</v>
          </cell>
          <cell r="O365">
            <v>0</v>
          </cell>
        </row>
        <row r="366">
          <cell r="K366">
            <v>0</v>
          </cell>
          <cell r="L366">
            <v>0</v>
          </cell>
          <cell r="M366">
            <v>0</v>
          </cell>
          <cell r="N366">
            <v>0</v>
          </cell>
          <cell r="O366">
            <v>0</v>
          </cell>
        </row>
        <row r="367">
          <cell r="K367">
            <v>0</v>
          </cell>
          <cell r="L367">
            <v>0</v>
          </cell>
          <cell r="M367">
            <v>0</v>
          </cell>
          <cell r="N367">
            <v>0</v>
          </cell>
          <cell r="O367">
            <v>0</v>
          </cell>
        </row>
        <row r="368">
          <cell r="K368">
            <v>0</v>
          </cell>
          <cell r="L368">
            <v>0</v>
          </cell>
          <cell r="M368">
            <v>0</v>
          </cell>
          <cell r="N368">
            <v>0</v>
          </cell>
          <cell r="O368">
            <v>0</v>
          </cell>
        </row>
        <row r="369">
          <cell r="K369">
            <v>2017</v>
          </cell>
          <cell r="L369" t="str">
            <v>Q3</v>
          </cell>
          <cell r="M369">
            <v>2017</v>
          </cell>
          <cell r="N369">
            <v>1.7231082025541647E-2</v>
          </cell>
          <cell r="O369">
            <v>1.7231082025541647E-2</v>
          </cell>
        </row>
        <row r="370">
          <cell r="K370">
            <v>2019</v>
          </cell>
          <cell r="L370">
            <v>0</v>
          </cell>
          <cell r="M370">
            <v>0</v>
          </cell>
          <cell r="N370">
            <v>2.9252176123006547E-2</v>
          </cell>
          <cell r="O370">
            <v>0</v>
          </cell>
        </row>
        <row r="371">
          <cell r="K371">
            <v>0</v>
          </cell>
          <cell r="L371">
            <v>0</v>
          </cell>
          <cell r="M371">
            <v>0</v>
          </cell>
          <cell r="N371">
            <v>2.7924264565728447E-2</v>
          </cell>
          <cell r="O371">
            <v>0</v>
          </cell>
        </row>
        <row r="372">
          <cell r="K372">
            <v>2018</v>
          </cell>
          <cell r="L372" t="str">
            <v>Q3</v>
          </cell>
          <cell r="M372">
            <v>2018</v>
          </cell>
          <cell r="N372">
            <v>2.5592477285723364E-2</v>
          </cell>
          <cell r="O372">
            <v>2.5592477285723364E-2</v>
          </cell>
        </row>
        <row r="373">
          <cell r="K373">
            <v>0</v>
          </cell>
          <cell r="L373">
            <v>0</v>
          </cell>
          <cell r="M373">
            <v>0</v>
          </cell>
          <cell r="N373">
            <v>0</v>
          </cell>
          <cell r="O373">
            <v>0</v>
          </cell>
        </row>
        <row r="374">
          <cell r="K374">
            <v>0</v>
          </cell>
          <cell r="L374">
            <v>0</v>
          </cell>
          <cell r="M374">
            <v>0</v>
          </cell>
          <cell r="N374">
            <v>0</v>
          </cell>
          <cell r="O374">
            <v>0</v>
          </cell>
        </row>
        <row r="375">
          <cell r="K375">
            <v>0</v>
          </cell>
          <cell r="L375">
            <v>0</v>
          </cell>
          <cell r="M375">
            <v>0</v>
          </cell>
          <cell r="N375">
            <v>0</v>
          </cell>
          <cell r="O375">
            <v>0</v>
          </cell>
        </row>
        <row r="376">
          <cell r="K376">
            <v>0</v>
          </cell>
          <cell r="L376">
            <v>0</v>
          </cell>
          <cell r="M376">
            <v>0</v>
          </cell>
          <cell r="N376">
            <v>0</v>
          </cell>
          <cell r="O376">
            <v>0</v>
          </cell>
        </row>
        <row r="377">
          <cell r="K377">
            <v>0</v>
          </cell>
          <cell r="L377">
            <v>0</v>
          </cell>
          <cell r="M377">
            <v>0</v>
          </cell>
          <cell r="N377">
            <v>0</v>
          </cell>
          <cell r="O377">
            <v>0</v>
          </cell>
        </row>
        <row r="378">
          <cell r="K378">
            <v>0</v>
          </cell>
          <cell r="L378">
            <v>0</v>
          </cell>
          <cell r="M378">
            <v>0</v>
          </cell>
          <cell r="N378">
            <v>0</v>
          </cell>
          <cell r="O378">
            <v>0</v>
          </cell>
        </row>
        <row r="379">
          <cell r="K379">
            <v>0</v>
          </cell>
          <cell r="L379">
            <v>0</v>
          </cell>
          <cell r="M379">
            <v>0</v>
          </cell>
          <cell r="N379">
            <v>0</v>
          </cell>
          <cell r="O379">
            <v>0</v>
          </cell>
        </row>
        <row r="380">
          <cell r="K380">
            <v>0</v>
          </cell>
          <cell r="L380">
            <v>0</v>
          </cell>
          <cell r="M380">
            <v>0</v>
          </cell>
          <cell r="N380">
            <v>0</v>
          </cell>
          <cell r="O380">
            <v>0</v>
          </cell>
        </row>
        <row r="381">
          <cell r="K381">
            <v>0</v>
          </cell>
          <cell r="L381">
            <v>0</v>
          </cell>
          <cell r="M381">
            <v>0</v>
          </cell>
          <cell r="N381">
            <v>0</v>
          </cell>
          <cell r="O381">
            <v>0</v>
          </cell>
        </row>
        <row r="382">
          <cell r="K382">
            <v>0</v>
          </cell>
          <cell r="L382">
            <v>0</v>
          </cell>
          <cell r="M382">
            <v>0</v>
          </cell>
          <cell r="N382">
            <v>0</v>
          </cell>
          <cell r="O382">
            <v>0</v>
          </cell>
        </row>
        <row r="383">
          <cell r="K383">
            <v>0</v>
          </cell>
          <cell r="L383">
            <v>0</v>
          </cell>
          <cell r="M383">
            <v>0</v>
          </cell>
          <cell r="N383">
            <v>0</v>
          </cell>
          <cell r="O383">
            <v>0</v>
          </cell>
        </row>
        <row r="384">
          <cell r="K384">
            <v>0</v>
          </cell>
          <cell r="L384">
            <v>0</v>
          </cell>
          <cell r="M384">
            <v>0</v>
          </cell>
          <cell r="N384">
            <v>0</v>
          </cell>
          <cell r="O384">
            <v>0</v>
          </cell>
        </row>
        <row r="385">
          <cell r="K385">
            <v>0</v>
          </cell>
          <cell r="L385">
            <v>0</v>
          </cell>
          <cell r="M385">
            <v>0</v>
          </cell>
          <cell r="N385">
            <v>0</v>
          </cell>
          <cell r="O385">
            <v>0</v>
          </cell>
        </row>
        <row r="386">
          <cell r="K386">
            <v>0</v>
          </cell>
          <cell r="L386">
            <v>0</v>
          </cell>
          <cell r="M386">
            <v>0</v>
          </cell>
          <cell r="N386">
            <v>0</v>
          </cell>
          <cell r="O386">
            <v>0</v>
          </cell>
        </row>
        <row r="387">
          <cell r="K387">
            <v>0</v>
          </cell>
          <cell r="L387">
            <v>0</v>
          </cell>
          <cell r="M387">
            <v>0</v>
          </cell>
          <cell r="N387">
            <v>0</v>
          </cell>
          <cell r="O387">
            <v>0</v>
          </cell>
        </row>
        <row r="388">
          <cell r="K388">
            <v>0</v>
          </cell>
          <cell r="L388">
            <v>0</v>
          </cell>
          <cell r="M388">
            <v>0</v>
          </cell>
          <cell r="N388">
            <v>0</v>
          </cell>
          <cell r="O388">
            <v>0</v>
          </cell>
        </row>
        <row r="389">
          <cell r="K389">
            <v>0</v>
          </cell>
          <cell r="L389">
            <v>0</v>
          </cell>
          <cell r="M389">
            <v>0</v>
          </cell>
          <cell r="N389">
            <v>0</v>
          </cell>
          <cell r="O389">
            <v>0</v>
          </cell>
        </row>
        <row r="390">
          <cell r="K390">
            <v>0</v>
          </cell>
          <cell r="L390">
            <v>0</v>
          </cell>
          <cell r="M390">
            <v>0</v>
          </cell>
          <cell r="N390">
            <v>0</v>
          </cell>
          <cell r="O390">
            <v>0</v>
          </cell>
        </row>
        <row r="391">
          <cell r="K391">
            <v>0</v>
          </cell>
          <cell r="L391">
            <v>0</v>
          </cell>
          <cell r="M391">
            <v>0</v>
          </cell>
          <cell r="N391">
            <v>0</v>
          </cell>
          <cell r="O391">
            <v>0</v>
          </cell>
        </row>
        <row r="392">
          <cell r="K392">
            <v>0</v>
          </cell>
          <cell r="L392">
            <v>0</v>
          </cell>
          <cell r="M392">
            <v>0</v>
          </cell>
          <cell r="N392">
            <v>0</v>
          </cell>
          <cell r="O392">
            <v>0</v>
          </cell>
        </row>
        <row r="393">
          <cell r="K393">
            <v>0</v>
          </cell>
          <cell r="L393">
            <v>0</v>
          </cell>
          <cell r="M393">
            <v>0</v>
          </cell>
          <cell r="N393">
            <v>0</v>
          </cell>
          <cell r="O393">
            <v>0</v>
          </cell>
        </row>
        <row r="394">
          <cell r="K394">
            <v>0</v>
          </cell>
          <cell r="L394">
            <v>0</v>
          </cell>
          <cell r="M394">
            <v>0</v>
          </cell>
          <cell r="N394">
            <v>0</v>
          </cell>
          <cell r="O394">
            <v>0</v>
          </cell>
        </row>
        <row r="395">
          <cell r="K395">
            <v>0</v>
          </cell>
          <cell r="L395">
            <v>0</v>
          </cell>
          <cell r="M395">
            <v>0</v>
          </cell>
          <cell r="N395">
            <v>0</v>
          </cell>
          <cell r="O395">
            <v>0</v>
          </cell>
        </row>
        <row r="396">
          <cell r="K396">
            <v>0</v>
          </cell>
          <cell r="L396">
            <v>0</v>
          </cell>
          <cell r="M396">
            <v>0</v>
          </cell>
          <cell r="N396">
            <v>0</v>
          </cell>
          <cell r="O396">
            <v>0</v>
          </cell>
        </row>
        <row r="397">
          <cell r="K397">
            <v>0</v>
          </cell>
          <cell r="L397">
            <v>0</v>
          </cell>
          <cell r="M397">
            <v>0</v>
          </cell>
          <cell r="N397">
            <v>0</v>
          </cell>
          <cell r="O397">
            <v>0</v>
          </cell>
        </row>
        <row r="398">
          <cell r="K398">
            <v>0</v>
          </cell>
          <cell r="L398">
            <v>0</v>
          </cell>
          <cell r="M398">
            <v>0</v>
          </cell>
          <cell r="N398">
            <v>0</v>
          </cell>
          <cell r="O398">
            <v>0</v>
          </cell>
        </row>
        <row r="399">
          <cell r="K399">
            <v>0</v>
          </cell>
          <cell r="L399">
            <v>0</v>
          </cell>
          <cell r="M399">
            <v>0</v>
          </cell>
          <cell r="N399">
            <v>0</v>
          </cell>
          <cell r="O399">
            <v>0</v>
          </cell>
        </row>
        <row r="400">
          <cell r="K400">
            <v>0</v>
          </cell>
          <cell r="L400">
            <v>0</v>
          </cell>
          <cell r="M400">
            <v>0</v>
          </cell>
          <cell r="N400">
            <v>0</v>
          </cell>
          <cell r="O400">
            <v>0</v>
          </cell>
        </row>
        <row r="401">
          <cell r="K401">
            <v>0</v>
          </cell>
          <cell r="L401">
            <v>0</v>
          </cell>
          <cell r="M401">
            <v>0</v>
          </cell>
          <cell r="N401">
            <v>0</v>
          </cell>
          <cell r="O401">
            <v>0</v>
          </cell>
        </row>
        <row r="402">
          <cell r="K402">
            <v>0</v>
          </cell>
          <cell r="L402">
            <v>0</v>
          </cell>
          <cell r="M402">
            <v>0</v>
          </cell>
          <cell r="N402">
            <v>0</v>
          </cell>
          <cell r="O402">
            <v>0</v>
          </cell>
        </row>
        <row r="403">
          <cell r="K403">
            <v>0</v>
          </cell>
          <cell r="L403">
            <v>0</v>
          </cell>
          <cell r="M403">
            <v>0</v>
          </cell>
          <cell r="N403">
            <v>0</v>
          </cell>
          <cell r="O403">
            <v>0</v>
          </cell>
        </row>
        <row r="404">
          <cell r="K404">
            <v>0</v>
          </cell>
          <cell r="L404">
            <v>0</v>
          </cell>
          <cell r="M404">
            <v>0</v>
          </cell>
          <cell r="N404">
            <v>0</v>
          </cell>
          <cell r="O404">
            <v>0</v>
          </cell>
        </row>
        <row r="405">
          <cell r="K405">
            <v>0</v>
          </cell>
          <cell r="L405">
            <v>0</v>
          </cell>
          <cell r="M405">
            <v>0</v>
          </cell>
          <cell r="N405">
            <v>0</v>
          </cell>
          <cell r="O405">
            <v>0</v>
          </cell>
        </row>
        <row r="406">
          <cell r="K406">
            <v>0</v>
          </cell>
          <cell r="L406">
            <v>0</v>
          </cell>
          <cell r="M406">
            <v>0</v>
          </cell>
          <cell r="N406">
            <v>0</v>
          </cell>
          <cell r="O406">
            <v>0</v>
          </cell>
        </row>
        <row r="407">
          <cell r="K407">
            <v>0</v>
          </cell>
          <cell r="L407">
            <v>0</v>
          </cell>
          <cell r="M407">
            <v>0</v>
          </cell>
          <cell r="N407">
            <v>0</v>
          </cell>
          <cell r="O407">
            <v>0</v>
          </cell>
        </row>
        <row r="408">
          <cell r="K408">
            <v>0</v>
          </cell>
          <cell r="L408">
            <v>0</v>
          </cell>
          <cell r="M408">
            <v>0</v>
          </cell>
          <cell r="N408">
            <v>0</v>
          </cell>
          <cell r="O408">
            <v>0</v>
          </cell>
        </row>
        <row r="409">
          <cell r="K409">
            <v>0</v>
          </cell>
          <cell r="L409">
            <v>0</v>
          </cell>
          <cell r="M409">
            <v>0</v>
          </cell>
          <cell r="N409">
            <v>0</v>
          </cell>
          <cell r="O409">
            <v>0</v>
          </cell>
        </row>
        <row r="410">
          <cell r="K410">
            <v>0</v>
          </cell>
          <cell r="L410">
            <v>0</v>
          </cell>
          <cell r="M410">
            <v>0</v>
          </cell>
          <cell r="N410">
            <v>0</v>
          </cell>
          <cell r="O410">
            <v>0</v>
          </cell>
        </row>
        <row r="411">
          <cell r="K411">
            <v>0</v>
          </cell>
          <cell r="L411">
            <v>0</v>
          </cell>
          <cell r="M411">
            <v>0</v>
          </cell>
          <cell r="N411">
            <v>0</v>
          </cell>
          <cell r="O411">
            <v>0</v>
          </cell>
        </row>
        <row r="412">
          <cell r="K412">
            <v>0</v>
          </cell>
          <cell r="L412">
            <v>0</v>
          </cell>
          <cell r="M412">
            <v>0</v>
          </cell>
          <cell r="N412">
            <v>0</v>
          </cell>
          <cell r="O412">
            <v>0</v>
          </cell>
        </row>
        <row r="413">
          <cell r="K413">
            <v>0</v>
          </cell>
          <cell r="L413">
            <v>0</v>
          </cell>
          <cell r="M413">
            <v>0</v>
          </cell>
          <cell r="N413">
            <v>0</v>
          </cell>
          <cell r="O413">
            <v>0</v>
          </cell>
        </row>
        <row r="414">
          <cell r="K414">
            <v>0</v>
          </cell>
          <cell r="L414">
            <v>0</v>
          </cell>
          <cell r="M414">
            <v>0</v>
          </cell>
          <cell r="N414">
            <v>0</v>
          </cell>
          <cell r="O414">
            <v>0</v>
          </cell>
        </row>
        <row r="415">
          <cell r="K415">
            <v>0</v>
          </cell>
          <cell r="L415">
            <v>0</v>
          </cell>
          <cell r="M415">
            <v>0</v>
          </cell>
          <cell r="N415">
            <v>0</v>
          </cell>
          <cell r="O415">
            <v>0</v>
          </cell>
        </row>
        <row r="416">
          <cell r="K416">
            <v>0</v>
          </cell>
          <cell r="L416">
            <v>0</v>
          </cell>
          <cell r="M416">
            <v>0</v>
          </cell>
          <cell r="N416">
            <v>0</v>
          </cell>
          <cell r="O416">
            <v>0</v>
          </cell>
        </row>
        <row r="417">
          <cell r="K417">
            <v>0</v>
          </cell>
          <cell r="L417">
            <v>0</v>
          </cell>
          <cell r="M417">
            <v>0</v>
          </cell>
          <cell r="N417">
            <v>0</v>
          </cell>
          <cell r="O417">
            <v>0</v>
          </cell>
        </row>
        <row r="418">
          <cell r="K418">
            <v>0</v>
          </cell>
          <cell r="L418">
            <v>0</v>
          </cell>
          <cell r="M418">
            <v>0</v>
          </cell>
          <cell r="N418">
            <v>0</v>
          </cell>
          <cell r="O418">
            <v>0</v>
          </cell>
        </row>
        <row r="419">
          <cell r="O419">
            <v>2.0943198424296337E-2</v>
          </cell>
        </row>
      </sheetData>
      <sheetData sheetId="5"/>
      <sheetData sheetId="6"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hyperlink" Target="http://www.deafmissions.com/tally/bkchptrvrs.html"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Z143"/>
  <sheetViews>
    <sheetView topLeftCell="A10" workbookViewId="0">
      <selection activeCell="O26" sqref="O26"/>
    </sheetView>
  </sheetViews>
  <sheetFormatPr defaultColWidth="9.140625" defaultRowHeight="12.75" x14ac:dyDescent="0.2"/>
  <cols>
    <col min="1" max="1" width="1" style="100" customWidth="1"/>
    <col min="2" max="2" width="7.140625" style="118" hidden="1" customWidth="1"/>
    <col min="3" max="3" width="7.28515625" style="243" hidden="1" customWidth="1"/>
    <col min="4" max="4" width="9.5703125" style="190" hidden="1" customWidth="1"/>
    <col min="5" max="5" width="6" style="91" customWidth="1"/>
    <col min="6" max="6" width="8.28515625" style="91" customWidth="1"/>
    <col min="7" max="7" width="5.140625" style="91" customWidth="1"/>
    <col min="8" max="8" width="7.42578125" style="91" customWidth="1"/>
    <col min="9" max="9" width="10" style="91" customWidth="1"/>
    <col min="10" max="10" width="7.28515625" style="91" customWidth="1"/>
    <col min="11" max="11" width="9.28515625" style="91" customWidth="1"/>
    <col min="12" max="12" width="9.5703125" style="91" customWidth="1"/>
    <col min="13" max="13" width="1" style="91" customWidth="1"/>
    <col min="14" max="14" width="26.28515625" style="91" customWidth="1"/>
    <col min="15" max="15" width="6.85546875" style="91" customWidth="1"/>
    <col min="16" max="16" width="8.28515625" style="91" customWidth="1"/>
    <col min="17" max="17" width="9.28515625" style="91" customWidth="1"/>
    <col min="18" max="18" width="9.5703125" style="91" customWidth="1"/>
    <col min="19" max="19" width="9.85546875" style="91" customWidth="1"/>
    <col min="20" max="20" width="11.5703125" style="91" customWidth="1"/>
    <col min="21" max="23" width="10.42578125" style="91" customWidth="1"/>
    <col min="24" max="24" width="0.5703125" style="100" customWidth="1"/>
    <col min="25" max="30" width="5" style="91" hidden="1" customWidth="1"/>
    <col min="31" max="31" width="7.5703125" style="91" hidden="1" customWidth="1"/>
    <col min="32" max="32" width="70.42578125" style="91" hidden="1" customWidth="1"/>
    <col min="33" max="33" width="7.85546875" style="91" hidden="1" customWidth="1"/>
    <col min="34" max="34" width="27.140625" style="91" hidden="1" customWidth="1"/>
    <col min="35" max="35" width="13.140625" style="91" hidden="1" customWidth="1"/>
    <col min="36" max="36" width="10.42578125" style="91" hidden="1" customWidth="1"/>
    <col min="37" max="37" width="8.5703125" style="91" hidden="1" customWidth="1"/>
    <col min="38" max="52" width="9.140625" style="91" hidden="1" customWidth="1"/>
    <col min="53" max="16384" width="9.140625" style="91"/>
  </cols>
  <sheetData>
    <row r="1" spans="1:38" ht="6" hidden="1" customHeight="1" x14ac:dyDescent="0.25">
      <c r="A1" s="84"/>
      <c r="B1" s="88"/>
      <c r="C1" s="89"/>
      <c r="D1" s="90"/>
      <c r="E1" s="83"/>
      <c r="F1" s="83"/>
      <c r="G1" s="83"/>
      <c r="H1" s="83"/>
      <c r="I1" s="83"/>
      <c r="J1" s="83"/>
      <c r="K1" s="83"/>
      <c r="L1" s="83"/>
      <c r="M1" s="83"/>
      <c r="N1" s="83"/>
      <c r="O1" s="83"/>
      <c r="P1" s="83"/>
      <c r="Q1" s="83"/>
      <c r="R1" s="83"/>
      <c r="S1" s="83"/>
      <c r="T1" s="83"/>
      <c r="U1" s="83"/>
      <c r="V1" s="83"/>
      <c r="W1" s="83"/>
      <c r="X1" s="84"/>
      <c r="Y1" s="83"/>
      <c r="Z1" s="83"/>
      <c r="AA1" s="83"/>
      <c r="AB1" s="83"/>
      <c r="AC1" s="83"/>
      <c r="AD1" s="83"/>
      <c r="AE1" s="83"/>
      <c r="AF1" s="83"/>
      <c r="AG1" s="83"/>
      <c r="AH1" s="83"/>
      <c r="AI1" s="83"/>
    </row>
    <row r="2" spans="1:38" ht="6" hidden="1" customHeight="1" x14ac:dyDescent="0.25">
      <c r="A2" s="84"/>
      <c r="B2" s="88"/>
      <c r="C2" s="89"/>
      <c r="D2" s="90"/>
      <c r="E2" s="83"/>
      <c r="F2" s="83"/>
      <c r="G2" s="83"/>
      <c r="H2" s="83"/>
      <c r="I2" s="83"/>
      <c r="J2" s="83"/>
      <c r="K2" s="83"/>
      <c r="L2" s="83"/>
      <c r="M2" s="83"/>
      <c r="N2" s="83"/>
      <c r="O2" s="83"/>
      <c r="P2" s="83"/>
      <c r="Q2" s="83"/>
      <c r="R2" s="83"/>
      <c r="S2" s="83"/>
      <c r="T2" s="83"/>
      <c r="U2" s="83"/>
      <c r="V2" s="83"/>
      <c r="W2" s="83"/>
      <c r="X2" s="84"/>
      <c r="Y2" s="83"/>
      <c r="Z2" s="83"/>
      <c r="AA2" s="83"/>
      <c r="AB2" s="83"/>
      <c r="AC2" s="83"/>
      <c r="AD2" s="83"/>
      <c r="AE2" s="83"/>
      <c r="AF2" s="83"/>
      <c r="AG2" s="83"/>
      <c r="AH2" s="83"/>
      <c r="AI2" s="83"/>
    </row>
    <row r="3" spans="1:38" ht="6" hidden="1" customHeight="1" x14ac:dyDescent="0.25">
      <c r="A3" s="84"/>
      <c r="B3" s="88"/>
      <c r="C3" s="89"/>
      <c r="D3" s="90"/>
      <c r="E3" s="83"/>
      <c r="F3" s="83"/>
      <c r="G3" s="83"/>
      <c r="H3" s="83"/>
      <c r="I3" s="83"/>
      <c r="J3" s="83"/>
      <c r="K3" s="83"/>
      <c r="L3" s="83"/>
      <c r="M3" s="83"/>
      <c r="N3" s="83"/>
      <c r="O3" s="83"/>
      <c r="P3" s="83"/>
      <c r="Q3" s="83"/>
      <c r="R3" s="83"/>
      <c r="S3" s="83"/>
      <c r="T3" s="83"/>
      <c r="U3" s="83"/>
      <c r="V3" s="83"/>
      <c r="W3" s="83"/>
      <c r="X3" s="84"/>
      <c r="Y3" s="83"/>
      <c r="Z3" s="83"/>
      <c r="AA3" s="83"/>
      <c r="AB3" s="83"/>
      <c r="AC3" s="83"/>
      <c r="AD3" s="83"/>
      <c r="AE3" s="83"/>
      <c r="AF3" s="83"/>
      <c r="AG3" s="83"/>
      <c r="AH3" s="83"/>
      <c r="AI3" s="83"/>
    </row>
    <row r="4" spans="1:38" ht="6" hidden="1" customHeight="1" x14ac:dyDescent="0.25">
      <c r="A4" s="84"/>
      <c r="B4" s="88"/>
      <c r="C4" s="89"/>
      <c r="D4" s="90"/>
      <c r="E4" s="83"/>
      <c r="F4" s="83"/>
      <c r="G4" s="83"/>
      <c r="H4" s="83"/>
      <c r="I4" s="83"/>
      <c r="J4" s="83"/>
      <c r="K4" s="83"/>
      <c r="L4" s="83"/>
      <c r="M4" s="83"/>
      <c r="N4" s="83"/>
      <c r="O4" s="83"/>
      <c r="P4" s="83"/>
      <c r="Q4" s="83"/>
      <c r="R4" s="83"/>
      <c r="S4" s="83"/>
      <c r="T4" s="83"/>
      <c r="U4" s="83"/>
      <c r="V4" s="83"/>
      <c r="W4" s="83"/>
      <c r="X4" s="84"/>
      <c r="Y4" s="83"/>
      <c r="Z4" s="83"/>
      <c r="AA4" s="83"/>
      <c r="AB4" s="83"/>
      <c r="AC4" s="83"/>
      <c r="AD4" s="83"/>
      <c r="AE4" s="83"/>
      <c r="AF4" s="83"/>
      <c r="AG4" s="83"/>
      <c r="AH4" s="83"/>
      <c r="AI4" s="83"/>
    </row>
    <row r="5" spans="1:38" ht="6" hidden="1" customHeight="1" x14ac:dyDescent="0.25">
      <c r="A5" s="84"/>
      <c r="B5" s="88"/>
      <c r="C5" s="89"/>
      <c r="D5" s="90"/>
      <c r="E5" s="83"/>
      <c r="F5" s="83"/>
      <c r="G5" s="83"/>
      <c r="H5" s="83"/>
      <c r="I5" s="83"/>
      <c r="J5" s="83"/>
      <c r="K5" s="83"/>
      <c r="L5" s="83"/>
      <c r="M5" s="83"/>
      <c r="N5" s="83"/>
      <c r="O5" s="83"/>
      <c r="P5" s="83"/>
      <c r="Q5" s="83"/>
      <c r="R5" s="83"/>
      <c r="S5" s="83"/>
      <c r="T5" s="83"/>
      <c r="U5" s="83"/>
      <c r="V5" s="83"/>
      <c r="W5" s="83"/>
      <c r="X5" s="84"/>
      <c r="Y5" s="83"/>
      <c r="Z5" s="83"/>
      <c r="AA5" s="83"/>
      <c r="AB5" s="83"/>
      <c r="AC5" s="83"/>
      <c r="AD5" s="83"/>
      <c r="AE5" s="83"/>
      <c r="AF5" s="83"/>
      <c r="AG5" s="83"/>
      <c r="AH5" s="83"/>
      <c r="AI5" s="83"/>
    </row>
    <row r="6" spans="1:38" ht="6" hidden="1" customHeight="1" x14ac:dyDescent="0.25">
      <c r="A6" s="84"/>
      <c r="B6" s="88"/>
      <c r="C6" s="89"/>
      <c r="D6" s="90"/>
      <c r="E6" s="83"/>
      <c r="F6" s="83"/>
      <c r="G6" s="83"/>
      <c r="H6" s="83"/>
      <c r="I6" s="83"/>
      <c r="J6" s="83"/>
      <c r="K6" s="83"/>
      <c r="L6" s="83"/>
      <c r="M6" s="83"/>
      <c r="N6" s="83"/>
      <c r="O6" s="83"/>
      <c r="P6" s="83"/>
      <c r="Q6" s="83"/>
      <c r="R6" s="83"/>
      <c r="S6" s="83"/>
      <c r="T6" s="83"/>
      <c r="U6" s="83"/>
      <c r="V6" s="83"/>
      <c r="W6" s="83"/>
      <c r="X6" s="84"/>
      <c r="Y6" s="83"/>
      <c r="Z6" s="83"/>
      <c r="AA6" s="83"/>
      <c r="AB6" s="83"/>
      <c r="AC6" s="83"/>
      <c r="AD6" s="83"/>
      <c r="AE6" s="83"/>
      <c r="AF6" s="83"/>
      <c r="AG6" s="83"/>
      <c r="AH6" s="83"/>
      <c r="AI6" s="83"/>
    </row>
    <row r="7" spans="1:38" ht="6" hidden="1" customHeight="1" x14ac:dyDescent="0.25">
      <c r="A7" s="84"/>
      <c r="B7" s="88"/>
      <c r="C7" s="89"/>
      <c r="D7" s="90"/>
      <c r="E7" s="83"/>
      <c r="F7" s="83"/>
      <c r="G7" s="83"/>
      <c r="H7" s="83"/>
      <c r="I7" s="83"/>
      <c r="J7" s="83"/>
      <c r="K7" s="83"/>
      <c r="L7" s="83"/>
      <c r="M7" s="83"/>
      <c r="N7" s="83"/>
      <c r="O7" s="83"/>
      <c r="P7" s="83"/>
      <c r="Q7" s="83"/>
      <c r="R7" s="83"/>
      <c r="S7" s="83"/>
      <c r="T7" s="83"/>
      <c r="U7" s="83"/>
      <c r="V7" s="83"/>
      <c r="W7" s="83"/>
      <c r="X7" s="84"/>
      <c r="Y7" s="83"/>
      <c r="Z7" s="83"/>
      <c r="AA7" s="83"/>
      <c r="AB7" s="83"/>
      <c r="AC7" s="83"/>
      <c r="AD7" s="83"/>
      <c r="AE7" s="83"/>
      <c r="AF7" s="83"/>
      <c r="AG7" s="83"/>
      <c r="AH7" s="83"/>
      <c r="AI7" s="83"/>
    </row>
    <row r="8" spans="1:38" ht="6" hidden="1" customHeight="1" x14ac:dyDescent="0.25">
      <c r="A8" s="84"/>
      <c r="B8" s="88"/>
      <c r="C8" s="89"/>
      <c r="D8" s="90"/>
      <c r="E8" s="83"/>
      <c r="F8" s="83"/>
      <c r="G8" s="83"/>
      <c r="H8" s="83"/>
      <c r="I8" s="83"/>
      <c r="J8" s="83"/>
      <c r="K8" s="83"/>
      <c r="L8" s="83"/>
      <c r="M8" s="83"/>
      <c r="N8" s="83"/>
      <c r="O8" s="83"/>
      <c r="P8" s="83"/>
      <c r="Q8" s="83"/>
      <c r="R8" s="83"/>
      <c r="S8" s="83"/>
      <c r="T8" s="83"/>
      <c r="U8" s="83"/>
      <c r="V8" s="83"/>
      <c r="W8" s="83"/>
      <c r="X8" s="84"/>
      <c r="Y8" s="83"/>
      <c r="Z8" s="83"/>
      <c r="AA8" s="83"/>
      <c r="AB8" s="83"/>
      <c r="AC8" s="83"/>
      <c r="AD8" s="83"/>
      <c r="AE8" s="83"/>
      <c r="AF8" s="83"/>
      <c r="AG8" s="83"/>
      <c r="AH8" s="83"/>
      <c r="AI8" s="83"/>
    </row>
    <row r="9" spans="1:38" ht="5.25" hidden="1" customHeight="1" x14ac:dyDescent="0.25">
      <c r="A9" s="84"/>
      <c r="B9" s="88"/>
      <c r="C9" s="89"/>
      <c r="D9" s="90"/>
      <c r="E9" s="83"/>
      <c r="F9" s="83"/>
      <c r="G9" s="83"/>
      <c r="H9" s="83"/>
      <c r="I9" s="83"/>
      <c r="J9" s="83"/>
      <c r="K9" s="83"/>
      <c r="L9" s="83"/>
      <c r="M9" s="83"/>
      <c r="N9" s="83"/>
      <c r="O9" s="83"/>
      <c r="P9" s="83"/>
      <c r="Q9" s="83"/>
      <c r="R9" s="83"/>
      <c r="S9" s="83"/>
      <c r="T9" s="83"/>
      <c r="U9" s="83"/>
      <c r="V9" s="83"/>
      <c r="W9" s="83"/>
      <c r="X9" s="84"/>
      <c r="Y9" s="83"/>
      <c r="Z9" s="83"/>
      <c r="AA9" s="83"/>
      <c r="AB9" s="83"/>
      <c r="AC9" s="83"/>
      <c r="AD9" s="83"/>
      <c r="AE9" s="83"/>
      <c r="AF9" s="83"/>
      <c r="AG9" s="83"/>
      <c r="AH9" s="83"/>
      <c r="AI9" s="83"/>
    </row>
    <row r="10" spans="1:38" ht="15" customHeight="1" thickBot="1" x14ac:dyDescent="0.3">
      <c r="A10" s="84"/>
      <c r="B10" s="88"/>
      <c r="C10" s="92"/>
      <c r="D10" s="90"/>
      <c r="E10" s="469" t="str">
        <f>IF(ISTEXT(AH19),AH19,"")</f>
        <v/>
      </c>
      <c r="F10" s="470"/>
      <c r="G10" s="470"/>
      <c r="H10" s="470"/>
      <c r="I10" s="470"/>
      <c r="J10" s="470"/>
      <c r="K10" s="470"/>
      <c r="L10" s="470"/>
      <c r="M10" s="470"/>
      <c r="N10" s="470"/>
      <c r="O10" s="470"/>
      <c r="P10" s="470"/>
      <c r="Q10" s="470"/>
      <c r="R10" s="470"/>
      <c r="S10" s="470"/>
      <c r="T10" s="470"/>
      <c r="U10" s="470"/>
      <c r="V10" s="470"/>
      <c r="W10" s="470"/>
      <c r="X10" s="93"/>
      <c r="Y10" s="94"/>
      <c r="Z10" s="94"/>
      <c r="AA10" s="94"/>
      <c r="AB10" s="94"/>
      <c r="AC10" s="94"/>
      <c r="AD10" s="94"/>
      <c r="AE10" s="94"/>
      <c r="AF10" s="83"/>
      <c r="AG10" s="83"/>
      <c r="AH10" s="83"/>
      <c r="AI10" s="83"/>
    </row>
    <row r="11" spans="1:38" ht="13.5" customHeight="1" x14ac:dyDescent="0.2">
      <c r="A11" s="84"/>
      <c r="B11" s="95"/>
      <c r="C11" s="89"/>
      <c r="D11" s="90"/>
      <c r="E11" s="96"/>
      <c r="F11" s="471" t="s">
        <v>136</v>
      </c>
      <c r="G11" s="472"/>
      <c r="H11" s="472"/>
      <c r="I11" s="472"/>
      <c r="J11" s="472"/>
      <c r="K11" s="472"/>
      <c r="L11" s="97"/>
      <c r="M11" s="83"/>
      <c r="N11" s="474"/>
      <c r="O11" s="476" t="str">
        <f>IF(ISTEXT(AI19),"See error message above",N13&amp;" Translation Project Plan")</f>
        <v>MEP Translation Project Plan</v>
      </c>
      <c r="P11" s="477"/>
      <c r="Q11" s="477"/>
      <c r="R11" s="477"/>
      <c r="S11" s="477"/>
      <c r="T11" s="477"/>
      <c r="U11" s="477"/>
      <c r="V11" s="98" t="s">
        <v>137</v>
      </c>
      <c r="W11" s="99">
        <v>41516</v>
      </c>
      <c r="Y11" s="479"/>
      <c r="Z11" s="480"/>
      <c r="AA11" s="480"/>
      <c r="AB11" s="480"/>
      <c r="AC11" s="480"/>
      <c r="AD11" s="480"/>
      <c r="AE11" s="481"/>
      <c r="AF11" s="101"/>
      <c r="AG11" s="83"/>
      <c r="AH11" s="84">
        <v>2</v>
      </c>
      <c r="AI11" s="83"/>
      <c r="AK11" s="102"/>
    </row>
    <row r="12" spans="1:38" ht="12.75" customHeight="1" thickBot="1" x14ac:dyDescent="0.25">
      <c r="A12" s="84"/>
      <c r="B12" s="103"/>
      <c r="C12" s="104"/>
      <c r="D12" s="90"/>
      <c r="E12" s="105"/>
      <c r="F12" s="473"/>
      <c r="G12" s="473"/>
      <c r="H12" s="473"/>
      <c r="I12" s="473"/>
      <c r="J12" s="473"/>
      <c r="K12" s="473"/>
      <c r="L12" s="106"/>
      <c r="N12" s="475"/>
      <c r="O12" s="478"/>
      <c r="P12" s="478"/>
      <c r="Q12" s="478"/>
      <c r="R12" s="478"/>
      <c r="S12" s="478"/>
      <c r="T12" s="478"/>
      <c r="U12" s="478"/>
      <c r="V12" s="107"/>
      <c r="W12" s="108"/>
      <c r="X12" s="83"/>
      <c r="Y12" s="482"/>
      <c r="Z12" s="483"/>
      <c r="AA12" s="483"/>
      <c r="AB12" s="483"/>
      <c r="AC12" s="483"/>
      <c r="AD12" s="483"/>
      <c r="AE12" s="484"/>
      <c r="AF12" s="109"/>
      <c r="AG12" s="83"/>
      <c r="AH12" s="83"/>
      <c r="AI12" s="83"/>
      <c r="AK12" s="102"/>
    </row>
    <row r="13" spans="1:38" ht="12.75" customHeight="1" thickBot="1" x14ac:dyDescent="0.25">
      <c r="A13" s="84"/>
      <c r="B13" s="110"/>
      <c r="C13" s="89"/>
      <c r="D13" s="111"/>
      <c r="E13" s="487" t="s">
        <v>138</v>
      </c>
      <c r="F13" s="334"/>
      <c r="G13" s="334"/>
      <c r="H13" s="334"/>
      <c r="I13" s="334"/>
      <c r="J13" s="488"/>
      <c r="K13" s="491" t="s">
        <v>131</v>
      </c>
      <c r="L13" s="461"/>
      <c r="M13" s="83"/>
      <c r="N13" s="112" t="s">
        <v>210</v>
      </c>
      <c r="O13" s="493" t="s">
        <v>139</v>
      </c>
      <c r="P13" s="494"/>
      <c r="Q13" s="495"/>
      <c r="R13" s="436" t="s">
        <v>140</v>
      </c>
      <c r="S13" s="496"/>
      <c r="T13" s="497" t="s">
        <v>141</v>
      </c>
      <c r="U13" s="498"/>
      <c r="V13" s="499"/>
      <c r="W13" s="113">
        <v>42644</v>
      </c>
      <c r="X13" s="83"/>
      <c r="Y13" s="482"/>
      <c r="Z13" s="483"/>
      <c r="AA13" s="483"/>
      <c r="AB13" s="483"/>
      <c r="AC13" s="483"/>
      <c r="AD13" s="483"/>
      <c r="AE13" s="484"/>
      <c r="AF13" s="109"/>
      <c r="AG13" s="83"/>
      <c r="AH13" s="83"/>
      <c r="AI13" s="83"/>
    </row>
    <row r="14" spans="1:38" ht="12.75" customHeight="1" thickBot="1" x14ac:dyDescent="0.25">
      <c r="A14" s="84"/>
      <c r="B14" s="110"/>
      <c r="C14" s="89"/>
      <c r="D14" s="90"/>
      <c r="E14" s="489"/>
      <c r="F14" s="317"/>
      <c r="G14" s="317"/>
      <c r="H14" s="317"/>
      <c r="I14" s="317"/>
      <c r="J14" s="490"/>
      <c r="K14" s="492"/>
      <c r="L14" s="318"/>
      <c r="M14" s="83"/>
      <c r="N14" s="114"/>
      <c r="O14" s="424" t="s">
        <v>142</v>
      </c>
      <c r="P14" s="425"/>
      <c r="Q14" s="426"/>
      <c r="R14" s="500" t="s">
        <v>143</v>
      </c>
      <c r="S14" s="501"/>
      <c r="T14" s="433" t="s">
        <v>144</v>
      </c>
      <c r="U14" s="434"/>
      <c r="V14" s="435"/>
      <c r="W14" s="115">
        <v>42644</v>
      </c>
      <c r="X14" s="116"/>
      <c r="Y14" s="442"/>
      <c r="Z14" s="485"/>
      <c r="AA14" s="485"/>
      <c r="AB14" s="485"/>
      <c r="AC14" s="485"/>
      <c r="AD14" s="485"/>
      <c r="AE14" s="486"/>
      <c r="AF14" s="109"/>
      <c r="AG14" s="83"/>
      <c r="AH14" s="89" t="str">
        <f>IF(R14="Genesis","BookList_Genesis",IF(R14="luke","BookList_Luke",IF(R14="nt","BookList_NT",IF(R14="ot","BookList_OT",IF(R14="pioneer series","BookList_PioneerSeries",)))))</f>
        <v>BookList_NT</v>
      </c>
      <c r="AI14" s="88"/>
      <c r="AJ14" s="117"/>
      <c r="AK14" s="102"/>
      <c r="AL14" s="118"/>
    </row>
    <row r="15" spans="1:38" ht="12.75" customHeight="1" thickBot="1" x14ac:dyDescent="0.25">
      <c r="A15" s="84"/>
      <c r="B15" s="88"/>
      <c r="C15" s="89"/>
      <c r="D15" s="90"/>
      <c r="E15" s="456" t="s">
        <v>25</v>
      </c>
      <c r="F15" s="460" t="s">
        <v>145</v>
      </c>
      <c r="G15" s="461"/>
      <c r="H15" s="445" t="s">
        <v>146</v>
      </c>
      <c r="I15" s="465" t="s">
        <v>147</v>
      </c>
      <c r="J15" s="466" t="s">
        <v>148</v>
      </c>
      <c r="K15" s="445" t="s">
        <v>149</v>
      </c>
      <c r="L15" s="446" t="str">
        <f>IF(AH18=1,"Percent of Project","Verse Equivalents")</f>
        <v>Verse Equivalents</v>
      </c>
      <c r="M15" s="83"/>
      <c r="N15" s="427"/>
      <c r="O15" s="428"/>
      <c r="P15" s="428"/>
      <c r="Q15" s="428"/>
      <c r="R15" s="428"/>
      <c r="S15" s="429"/>
      <c r="T15" s="433" t="s">
        <v>150</v>
      </c>
      <c r="U15" s="434"/>
      <c r="V15" s="435"/>
      <c r="W15" s="119">
        <v>43738</v>
      </c>
      <c r="X15" s="84"/>
      <c r="Y15" s="436" t="s">
        <v>151</v>
      </c>
      <c r="Z15" s="437"/>
      <c r="AA15" s="437"/>
      <c r="AB15" s="437"/>
      <c r="AC15" s="437"/>
      <c r="AD15" s="437"/>
      <c r="AE15" s="438"/>
      <c r="AF15" s="120" t="s">
        <v>152</v>
      </c>
      <c r="AG15" s="83"/>
      <c r="AH15" s="83"/>
      <c r="AI15" s="88"/>
    </row>
    <row r="16" spans="1:38" ht="12.75" customHeight="1" thickBot="1" x14ac:dyDescent="0.25">
      <c r="A16" s="84"/>
      <c r="B16" s="121" t="s">
        <v>153</v>
      </c>
      <c r="C16" s="122">
        <f>N14</f>
        <v>0</v>
      </c>
      <c r="D16" s="111"/>
      <c r="E16" s="457"/>
      <c r="F16" s="462"/>
      <c r="G16" s="381"/>
      <c r="H16" s="463"/>
      <c r="I16" s="463"/>
      <c r="J16" s="467"/>
      <c r="K16" s="412"/>
      <c r="L16" s="447"/>
      <c r="M16" s="123"/>
      <c r="N16" s="430"/>
      <c r="O16" s="431"/>
      <c r="P16" s="431"/>
      <c r="Q16" s="431"/>
      <c r="R16" s="431"/>
      <c r="S16" s="432"/>
      <c r="T16" s="439" t="s">
        <v>154</v>
      </c>
      <c r="U16" s="440"/>
      <c r="V16" s="441"/>
      <c r="W16" s="124">
        <v>2017</v>
      </c>
      <c r="X16" s="84"/>
      <c r="Y16" s="442" t="s">
        <v>155</v>
      </c>
      <c r="Z16" s="443"/>
      <c r="AA16" s="443"/>
      <c r="AB16" s="443"/>
      <c r="AC16" s="443"/>
      <c r="AD16" s="443"/>
      <c r="AE16" s="444"/>
      <c r="AF16" s="417"/>
      <c r="AG16" s="83"/>
      <c r="AH16" s="83"/>
      <c r="AI16" s="83"/>
    </row>
    <row r="17" spans="1:41" ht="12.75" customHeight="1" thickBot="1" x14ac:dyDescent="0.25">
      <c r="A17" s="84"/>
      <c r="B17" s="88"/>
      <c r="C17" s="123"/>
      <c r="D17" s="125"/>
      <c r="E17" s="458"/>
      <c r="F17" s="462"/>
      <c r="G17" s="381"/>
      <c r="H17" s="463"/>
      <c r="I17" s="463"/>
      <c r="J17" s="467"/>
      <c r="K17" s="412"/>
      <c r="L17" s="448"/>
      <c r="M17" s="126"/>
      <c r="N17" s="449" t="str">
        <f>IF(SUM(R21:W21)&lt;&gt;1,"Stage Percentage Totals",IF(AH18=1,"Total Verses in Project","Verse Equivalents in Project"))</f>
        <v>Verse Equivalents in Project</v>
      </c>
      <c r="O17" s="451" t="s">
        <v>156</v>
      </c>
      <c r="P17" s="454" t="s">
        <v>157</v>
      </c>
      <c r="Q17" s="420" t="s">
        <v>158</v>
      </c>
      <c r="R17" s="127"/>
      <c r="S17" s="128"/>
      <c r="T17" s="129" t="s">
        <v>159</v>
      </c>
      <c r="U17" s="128"/>
      <c r="V17" s="128"/>
      <c r="W17" s="130"/>
      <c r="X17" s="131"/>
      <c r="Y17" s="408" t="s">
        <v>160</v>
      </c>
      <c r="Z17" s="411" t="s">
        <v>161</v>
      </c>
      <c r="AA17" s="411" t="s">
        <v>162</v>
      </c>
      <c r="AB17" s="411" t="s">
        <v>163</v>
      </c>
      <c r="AC17" s="411" t="s">
        <v>164</v>
      </c>
      <c r="AD17" s="414" t="s">
        <v>165</v>
      </c>
      <c r="AE17" s="396" t="s">
        <v>166</v>
      </c>
      <c r="AF17" s="418"/>
      <c r="AG17" s="132"/>
      <c r="AH17" s="83"/>
      <c r="AI17" s="83"/>
    </row>
    <row r="18" spans="1:41" ht="12.75" customHeight="1" thickBot="1" x14ac:dyDescent="0.25">
      <c r="A18" s="84"/>
      <c r="B18" s="92" t="s">
        <v>167</v>
      </c>
      <c r="C18" s="92" t="s">
        <v>168</v>
      </c>
      <c r="D18" s="133" t="s">
        <v>169</v>
      </c>
      <c r="E18" s="459"/>
      <c r="F18" s="462"/>
      <c r="G18" s="381"/>
      <c r="H18" s="464"/>
      <c r="I18" s="464"/>
      <c r="J18" s="468"/>
      <c r="K18" s="413"/>
      <c r="L18" s="134">
        <f t="array" ref="L18">IF(ISNUMBER(F19),IF($AH$18=1,SUM((PlanYear&lt;F19)*(PlanYear&gt;0)*PlanPercent),SUM((PlanYear&lt;F19)*(PlanYear&gt;0)*PlanPercent)*VE),"")</f>
        <v>1113.6999999999998</v>
      </c>
      <c r="M18" s="135"/>
      <c r="N18" s="450"/>
      <c r="O18" s="452"/>
      <c r="P18" s="455"/>
      <c r="Q18" s="421"/>
      <c r="R18" s="399" t="s">
        <v>170</v>
      </c>
      <c r="S18" s="402" t="s">
        <v>161</v>
      </c>
      <c r="T18" s="402" t="s">
        <v>171</v>
      </c>
      <c r="U18" s="402" t="s">
        <v>172</v>
      </c>
      <c r="V18" s="402" t="s">
        <v>173</v>
      </c>
      <c r="W18" s="405" t="s">
        <v>174</v>
      </c>
      <c r="X18" s="84"/>
      <c r="Y18" s="409"/>
      <c r="Z18" s="412"/>
      <c r="AA18" s="412"/>
      <c r="AB18" s="412"/>
      <c r="AC18" s="412"/>
      <c r="AD18" s="415"/>
      <c r="AE18" s="397"/>
      <c r="AF18" s="418"/>
      <c r="AG18" s="136">
        <f t="array" ref="AG18">IF(ISNUMBER(F19),SUM((PlanYear&lt;F19)*(PlanYear&gt;0)*PlanPercent),"")</f>
        <v>0.2830421246584916</v>
      </c>
      <c r="AH18" s="83">
        <v>2</v>
      </c>
      <c r="AI18" s="83" t="b">
        <f>AH18=1</f>
        <v>0</v>
      </c>
    </row>
    <row r="19" spans="1:41" ht="12.75" customHeight="1" x14ac:dyDescent="0.2">
      <c r="A19" s="84"/>
      <c r="B19" s="137">
        <f t="shared" ref="B19:B38" si="0">IF(ISNUMBER(F19),SUMIF($R$23:$W$88,F19,$Y$23:$AD$88)+SUMIF(PlannedOtherYear,F19,PlannedOtherDays),)</f>
        <v>181.35</v>
      </c>
      <c r="C19" s="137">
        <f>IF(AND(N$14&gt;1,N$14&gt;=D20-1),,B19-J19)</f>
        <v>1.3499999999999943</v>
      </c>
      <c r="D19" s="138">
        <f t="shared" ref="D19:D38" si="1">IF(F19="",1,ROUND((F19-1-1900)*365.25+(365.25*0.752),))</f>
        <v>42644</v>
      </c>
      <c r="E19" s="139">
        <v>1</v>
      </c>
      <c r="F19" s="389">
        <f>IF(SUM(R21:W21)=1,[1]Progress!BH26,"")</f>
        <v>2017</v>
      </c>
      <c r="G19" s="390"/>
      <c r="H19" s="140">
        <v>2</v>
      </c>
      <c r="I19" s="141">
        <v>15</v>
      </c>
      <c r="J19" s="142">
        <v>180</v>
      </c>
      <c r="K19" s="143">
        <f>IF(AND(ISNUMBER(N14),D20&lt;N14),,B19)</f>
        <v>181.35</v>
      </c>
      <c r="L19" s="144">
        <f>IF(OR(ISBLANK(I19),ISBLANK(J19)),"",IF(AND(K19=0,$AH$18=2),I19*J19*$R$21,IF(ISNUMBER(K19),IF(AH$18=1,SUMIF(PlanYear,F19,PlanPercent),SUMIF(PlanYear,F19,PlanPercent)*VE),"")))</f>
        <v>1046.0999999999999</v>
      </c>
      <c r="M19" s="88"/>
      <c r="N19" s="391">
        <f>IF(AH18=1,IF(SUM(R21:W21)&lt;&gt;1,SUM(R21:W21)*100&amp;"%",[1]Calculations!U22),[1]Progress!AR17)</f>
        <v>3934.75</v>
      </c>
      <c r="O19" s="452"/>
      <c r="P19" s="452"/>
      <c r="Q19" s="421"/>
      <c r="R19" s="400"/>
      <c r="S19" s="403"/>
      <c r="T19" s="403"/>
      <c r="U19" s="403"/>
      <c r="V19" s="403"/>
      <c r="W19" s="406"/>
      <c r="X19" s="84"/>
      <c r="Y19" s="409"/>
      <c r="Z19" s="412"/>
      <c r="AA19" s="412"/>
      <c r="AB19" s="412"/>
      <c r="AC19" s="412"/>
      <c r="AD19" s="415"/>
      <c r="AE19" s="397"/>
      <c r="AF19" s="418"/>
      <c r="AG19" s="145">
        <f>IF(ISNUMBER(K19),SUMIF(PlanYear,F19,PlanPercent),0)</f>
        <v>0.26586187178346782</v>
      </c>
      <c r="AH19" s="83">
        <f>IF(ISERROR(SUM(B$19:C$38)),"You first need to properly fill in the 3 columns of green cells in the Planning Inputs Section to the left; OR, You might not have any verses listed in the green ""Verses"" column for one or more Books",)</f>
        <v>0</v>
      </c>
      <c r="AI19" s="88"/>
    </row>
    <row r="20" spans="1:41" ht="12.75" customHeight="1" thickBot="1" x14ac:dyDescent="0.25">
      <c r="A20" s="84"/>
      <c r="B20" s="137">
        <f t="shared" si="0"/>
        <v>180.23263888888889</v>
      </c>
      <c r="C20" s="137">
        <f>IF(AND(N$14&gt;1,N$14&gt;=D21-1),,B20-J20+C19)</f>
        <v>1.58263888888888</v>
      </c>
      <c r="D20" s="138">
        <f t="shared" si="1"/>
        <v>43009</v>
      </c>
      <c r="E20" s="139">
        <v>2</v>
      </c>
      <c r="F20" s="365">
        <f t="shared" ref="F20:F27" si="2">IF(ISNUMBER(F19),(F19+1),"")</f>
        <v>2018</v>
      </c>
      <c r="G20" s="366"/>
      <c r="H20" s="140">
        <v>2</v>
      </c>
      <c r="I20" s="141">
        <v>18</v>
      </c>
      <c r="J20" s="142">
        <v>180</v>
      </c>
      <c r="K20" s="143">
        <f t="shared" ref="K20:K38" si="3">IF(AND(ISNUMBER(N$14),D20&lt;N$14),,IF(B20+C19&lt;=0,B20,IF(AND(ISNUMBER(I20),ISNUMBER(J20)),IF(AND(N$14&gt;1,N$14&gt;=D20+364),,B20+C19),)))+N("Comment-this cell has a Custom Number format so that the zero does not show if the value is zero")</f>
        <v>181.58263888888888</v>
      </c>
      <c r="L20" s="146">
        <f t="shared" ref="L20:L38" si="4">IF(OR(ISBLANK(I20),ISBLANK(J20)),"",IF(AND(K20=0,$AH$18=2),I20*J20*$R$21,IF(MAX($R$23:$W$88)&gt;F19,IF($AH$18 =1,SUMIF(PlanYear,F20,PlanPercent),SUMIF(PlanYear,F20,PlanPercent)*VE),"")))</f>
        <v>1110.4749999999999</v>
      </c>
      <c r="M20" s="88"/>
      <c r="N20" s="392"/>
      <c r="O20" s="452"/>
      <c r="P20" s="452"/>
      <c r="Q20" s="421"/>
      <c r="R20" s="401"/>
      <c r="S20" s="404"/>
      <c r="T20" s="404"/>
      <c r="U20" s="404"/>
      <c r="V20" s="404"/>
      <c r="W20" s="407"/>
      <c r="X20" s="84"/>
      <c r="Y20" s="410"/>
      <c r="Z20" s="413"/>
      <c r="AA20" s="413"/>
      <c r="AB20" s="413"/>
      <c r="AC20" s="413"/>
      <c r="AD20" s="416"/>
      <c r="AE20" s="397"/>
      <c r="AF20" s="418"/>
      <c r="AG20" s="145">
        <f t="shared" ref="AG20:AG38" si="5">IF(MAX($R$23:$W$88)&gt;F19,SUMIF(PlanYear,F20,PlanPercent),0)</f>
        <v>0.28222250460639176</v>
      </c>
      <c r="AH20" s="83"/>
      <c r="AI20" s="83"/>
    </row>
    <row r="21" spans="1:41" ht="12.75" customHeight="1" thickBot="1" x14ac:dyDescent="0.25">
      <c r="A21" s="84"/>
      <c r="B21" s="137">
        <f t="shared" si="0"/>
        <v>169.02777777777777</v>
      </c>
      <c r="C21" s="137">
        <f>IF(AND(N$14&gt;1,N$14&gt;=D22-1),,B21-J21+C20)</f>
        <v>-9.3895833333333485</v>
      </c>
      <c r="D21" s="138">
        <f t="shared" si="1"/>
        <v>43374</v>
      </c>
      <c r="E21" s="139">
        <v>3</v>
      </c>
      <c r="F21" s="365">
        <f t="shared" si="2"/>
        <v>2019</v>
      </c>
      <c r="G21" s="366"/>
      <c r="H21" s="140">
        <v>2</v>
      </c>
      <c r="I21" s="141">
        <v>18</v>
      </c>
      <c r="J21" s="142">
        <v>180</v>
      </c>
      <c r="K21" s="143">
        <f t="shared" si="3"/>
        <v>170.61041666666665</v>
      </c>
      <c r="L21" s="146">
        <f t="shared" si="4"/>
        <v>554.6</v>
      </c>
      <c r="M21" s="88"/>
      <c r="N21" s="393"/>
      <c r="O21" s="452"/>
      <c r="P21" s="452"/>
      <c r="Q21" s="422"/>
      <c r="R21" s="147">
        <v>0.4</v>
      </c>
      <c r="S21" s="147">
        <v>0.1</v>
      </c>
      <c r="T21" s="147">
        <v>0.2</v>
      </c>
      <c r="U21" s="147">
        <v>0.1</v>
      </c>
      <c r="V21" s="148">
        <v>0.1</v>
      </c>
      <c r="W21" s="149">
        <v>0.1</v>
      </c>
      <c r="X21" s="116"/>
      <c r="Y21" s="150">
        <f t="shared" ref="Y21:AD21" si="6">R21</f>
        <v>0.4</v>
      </c>
      <c r="Z21" s="151">
        <f t="shared" si="6"/>
        <v>0.1</v>
      </c>
      <c r="AA21" s="151">
        <f t="shared" si="6"/>
        <v>0.2</v>
      </c>
      <c r="AB21" s="151">
        <f t="shared" si="6"/>
        <v>0.1</v>
      </c>
      <c r="AC21" s="151">
        <f t="shared" si="6"/>
        <v>0.1</v>
      </c>
      <c r="AD21" s="152">
        <f t="shared" si="6"/>
        <v>0.1</v>
      </c>
      <c r="AE21" s="398"/>
      <c r="AF21" s="418"/>
      <c r="AG21" s="145">
        <f t="shared" si="5"/>
        <v>0.14094923438592033</v>
      </c>
      <c r="AH21" s="83"/>
      <c r="AI21" s="153"/>
    </row>
    <row r="22" spans="1:41" ht="12.75" customHeight="1" thickBot="1" x14ac:dyDescent="0.3">
      <c r="A22" s="84"/>
      <c r="B22" s="137">
        <f t="shared" si="0"/>
        <v>0</v>
      </c>
      <c r="C22" s="137">
        <f>IF(AND(N$14&gt;1,N$14&gt;=D23-1),,B22-J22+C21)</f>
        <v>-9.3895833333333485</v>
      </c>
      <c r="D22" s="138">
        <f t="shared" si="1"/>
        <v>43739</v>
      </c>
      <c r="E22" s="139">
        <v>4</v>
      </c>
      <c r="F22" s="365">
        <f t="shared" si="2"/>
        <v>2020</v>
      </c>
      <c r="G22" s="366"/>
      <c r="H22" s="140"/>
      <c r="I22" s="141"/>
      <c r="J22" s="142"/>
      <c r="K22" s="143">
        <f t="shared" si="3"/>
        <v>0</v>
      </c>
      <c r="L22" s="146" t="str">
        <f t="shared" si="4"/>
        <v/>
      </c>
      <c r="M22" s="88"/>
      <c r="N22" s="154" t="s">
        <v>15</v>
      </c>
      <c r="O22" s="453"/>
      <c r="P22" s="453"/>
      <c r="Q22" s="423"/>
      <c r="R22" s="155">
        <f>SUMIF(R23:R88,$W$16,[1]Calculations!$W$23:$W$88)</f>
        <v>1151</v>
      </c>
      <c r="S22" s="156">
        <f>SUMIF(S23:S88,$W$16,[1]Calculations!$W$23:$W$88)</f>
        <v>1151</v>
      </c>
      <c r="T22" s="156">
        <f>SUMIF(T23:T88,$W$16,[1]Calculations!$W$23:$W$88)</f>
        <v>1007</v>
      </c>
      <c r="U22" s="156">
        <f>SUMIF(U23:U88,$W$16,[1]Calculations!$W$23:$W$88)</f>
        <v>1007</v>
      </c>
      <c r="V22" s="156">
        <f>SUMIF(V23:V88,$W$16,[1]Calculations!$W$23:$W$88)</f>
        <v>1007</v>
      </c>
      <c r="W22" s="157">
        <f>SUMIF(W23:W88,$W$16,[1]Calculations!$W$23:$W$88)</f>
        <v>678</v>
      </c>
      <c r="X22" s="84"/>
      <c r="Y22" s="158">
        <f>SUMIF(R23:R88,$W$16,$Y$23:$Y$88)</f>
        <v>76.733333333333334</v>
      </c>
      <c r="Z22" s="159">
        <f>SUMIF(S23:S88,$W$16,$Z$23:$Z$88)</f>
        <v>19.183333333333334</v>
      </c>
      <c r="AA22" s="159">
        <f>SUMIF(T23:T88,$W$16,$AA$23:$AA$88)</f>
        <v>33.56666666666667</v>
      </c>
      <c r="AB22" s="159">
        <f>SUMIF(U23:U88,$W$16,$AB$23:$AB$88)</f>
        <v>16.783333333333335</v>
      </c>
      <c r="AC22" s="159">
        <f>SUMIF(V23:V88,$W$16,$AC$23:$AC$88)</f>
        <v>16.783333333333335</v>
      </c>
      <c r="AD22" s="160">
        <f>SUMIF(W23:W88,$W$16,$AD$23:$AD$88)</f>
        <v>11.3</v>
      </c>
      <c r="AE22" s="161">
        <f>SUMIF(R23:W88,$W$16,$Y$23:$AD$88)+SUMIF(PlannedOtherYear,$W$16,PlannedOtherDays)</f>
        <v>181.35</v>
      </c>
      <c r="AF22" s="419"/>
      <c r="AG22" s="145">
        <f t="shared" si="5"/>
        <v>0</v>
      </c>
      <c r="AH22" s="83"/>
      <c r="AI22" s="162" t="s">
        <v>175</v>
      </c>
      <c r="AJ22" s="394" t="s">
        <v>176</v>
      </c>
      <c r="AK22" s="395"/>
      <c r="AL22" s="395"/>
      <c r="AM22" s="395"/>
      <c r="AN22" s="395"/>
      <c r="AO22" s="395"/>
    </row>
    <row r="23" spans="1:41" ht="12.75" customHeight="1" x14ac:dyDescent="0.25">
      <c r="A23" s="138"/>
      <c r="B23" s="137">
        <f t="shared" si="0"/>
        <v>0</v>
      </c>
      <c r="C23" s="137">
        <f>IF(AND(N$14&gt;1,N$14&gt;=D24-1),,B23-J23+C22)</f>
        <v>-9.3895833333333485</v>
      </c>
      <c r="D23" s="138">
        <f t="shared" si="1"/>
        <v>44105</v>
      </c>
      <c r="E23" s="139">
        <v>5</v>
      </c>
      <c r="F23" s="365">
        <f t="shared" si="2"/>
        <v>2021</v>
      </c>
      <c r="G23" s="366"/>
      <c r="H23" s="140"/>
      <c r="I23" s="141"/>
      <c r="J23" s="142"/>
      <c r="K23" s="143">
        <f t="shared" si="3"/>
        <v>0</v>
      </c>
      <c r="L23" s="146" t="str">
        <f t="shared" si="4"/>
        <v/>
      </c>
      <c r="M23" s="88"/>
      <c r="N23" s="163"/>
      <c r="O23" s="164" t="str">
        <f>IF([1]Calculations!T23=1,"",[1]Calculations!T23)</f>
        <v/>
      </c>
      <c r="P23" s="164" t="str">
        <f>[1]Calculations!S23</f>
        <v/>
      </c>
      <c r="Q23" s="165" t="str">
        <f>P23</f>
        <v/>
      </c>
      <c r="R23" s="166"/>
      <c r="S23" s="166"/>
      <c r="T23" s="166"/>
      <c r="U23" s="166"/>
      <c r="V23" s="166"/>
      <c r="W23" s="166"/>
      <c r="X23" s="84"/>
      <c r="Y23" s="167">
        <f>IF(R23&lt;Year1,,IF(R23&lt;IF(AND(MONTH($N$14)&gt;=10,MONTH($N$14)&lt;=12),YEAR($N$14)+1,YEAR($N$14)),,IF(R23&gt;1,[1]Calculations!$W23/VLOOKUP(R23,Annual_Inputs,3,FALSE),)))</f>
        <v>0</v>
      </c>
      <c r="Z23" s="168">
        <f>IF(S23&lt;Year1,,IF(S23&lt;IF(AND(MONTH($N$14)&gt;=10,MONTH($N$14)&lt;=12),YEAR($N$14)+1,YEAR($N$14)),,IF(S23&gt;1,[1]Calculations!$W23/VLOOKUP(S23,Annual_Inputs,3,FALSE)/$Y$21*Z$21,0)))</f>
        <v>0</v>
      </c>
      <c r="AA23" s="168">
        <f>IF(T23&lt;Year1,,IF(T23&lt;IF(AND(MONTH($N$14)&gt;=10,MONTH($N$14)&lt;=12),YEAR($N$14)+1,YEAR($N$14)),,IF(T23&gt;1,[1]Calculations!$W23/VLOOKUP(T23,Annual_Inputs,3,FALSE)/$Y$21*AA$21,0)))</f>
        <v>0</v>
      </c>
      <c r="AB23" s="168">
        <f>IF(U23&lt;Year1,,IF(U23&lt;IF(AND(MONTH($N$14)&gt;=10,MONTH($N$14)&lt;=12),YEAR($N$14)+1,YEAR($N$14)),,IF(U23&gt;1,[1]Calculations!$W23/VLOOKUP(U23,Annual_Inputs,3,FALSE)/$Y$21*AB$21,0)))</f>
        <v>0</v>
      </c>
      <c r="AC23" s="168">
        <f>IF(V23&lt;Year1,,IF(V23&lt;IF(AND(MONTH($N$14)&gt;=10,MONTH($N$14)&lt;=12),YEAR($N$14)+1,YEAR($N$14)),,IF(V23&gt;1,[1]Calculations!$W23/VLOOKUP(V23,Annual_Inputs,3,FALSE)/$Y$21*AC$21,0)))</f>
        <v>0</v>
      </c>
      <c r="AD23" s="169">
        <f>IF(W23&lt;Year1,,IF(W23&lt;IF(AND(MONTH($N$14)&gt;=10,MONTH($N$14)&lt;=12),YEAR($N$14)+1,YEAR($N$14)),,IF(W23&gt;1,[1]Calculations!$W23/VLOOKUP(W23,Annual_Inputs,3,FALSE)/$Y$21*AD$21,0)))</f>
        <v>0</v>
      </c>
      <c r="AE23" s="170">
        <f t="shared" ref="AE23:AE86" si="7">SUM(Y23:AD23)</f>
        <v>0</v>
      </c>
      <c r="AF23" s="171"/>
      <c r="AG23" s="145">
        <f t="shared" si="5"/>
        <v>0</v>
      </c>
      <c r="AH23" s="83"/>
      <c r="AI23" s="172">
        <v>3</v>
      </c>
      <c r="AJ23" s="173">
        <f>IF($F19="",0,SUMIF(R$23:R$88,$F19,[1]Calculations!$W$23:$W$88))</f>
        <v>1151</v>
      </c>
      <c r="AK23" s="173">
        <f>IF($F19="",0,SUMIF(S$23:S$88,$F19,[1]Calculations!$W$23:$W$88))</f>
        <v>1151</v>
      </c>
      <c r="AL23" s="173">
        <f>IF($F19="",0,SUMIF(T$23:T$88,$F19,[1]Calculations!$W$23:$W$88))</f>
        <v>1007</v>
      </c>
      <c r="AM23" s="173">
        <f>IF($F19="",0,SUMIF(U$23:U$88,$F19,[1]Calculations!$W$23:$W$88))</f>
        <v>1007</v>
      </c>
      <c r="AN23" s="173">
        <f>IF($F19="",0,SUMIF(V$23:V$88,$F19,[1]Calculations!$W$23:$W$88))</f>
        <v>1007</v>
      </c>
      <c r="AO23" s="173">
        <f>IF($F19="",0,SUMIF(W$23:W$88,$F19,[1]Calculations!$W$23:$W$88))</f>
        <v>678</v>
      </c>
    </row>
    <row r="24" spans="1:41" ht="12.75" customHeight="1" x14ac:dyDescent="0.25">
      <c r="A24" s="138"/>
      <c r="B24" s="137">
        <f t="shared" si="0"/>
        <v>0</v>
      </c>
      <c r="C24" s="137">
        <f t="shared" ref="C24:C38" si="8">IF(AND(N$14&gt;1,N$14&gt;=D25-1),,B24-J24+C23)</f>
        <v>-9.3895833333333485</v>
      </c>
      <c r="D24" s="138">
        <f t="shared" si="1"/>
        <v>44470</v>
      </c>
      <c r="E24" s="139">
        <v>6</v>
      </c>
      <c r="F24" s="365">
        <f t="shared" si="2"/>
        <v>2022</v>
      </c>
      <c r="G24" s="366"/>
      <c r="H24" s="140"/>
      <c r="I24" s="141"/>
      <c r="J24" s="142"/>
      <c r="K24" s="143">
        <f t="shared" si="3"/>
        <v>0</v>
      </c>
      <c r="L24" s="146" t="str">
        <f t="shared" si="4"/>
        <v/>
      </c>
      <c r="M24" s="88"/>
      <c r="N24" s="163"/>
      <c r="O24" s="164" t="str">
        <f>IF([1]Calculations!T24=1,"",[1]Calculations!T24)</f>
        <v/>
      </c>
      <c r="P24" s="164" t="str">
        <f>[1]Calculations!S24</f>
        <v/>
      </c>
      <c r="Q24" s="165" t="str">
        <f t="shared" ref="Q24:Q87" si="9">P24</f>
        <v/>
      </c>
      <c r="R24" s="166"/>
      <c r="S24" s="166"/>
      <c r="T24" s="166"/>
      <c r="U24" s="166"/>
      <c r="V24" s="166"/>
      <c r="W24" s="166"/>
      <c r="X24" s="84"/>
      <c r="Y24" s="174">
        <f>IF(R24&lt;Year1,,IF(R24&lt;IF(AND(MONTH($N$14)&gt;=10,MONTH($N$14)&lt;=12),YEAR($N$14)+1,YEAR($N$14)),,IF(R24&gt;1,[1]Calculations!$W24/VLOOKUP(R24,Annual_Inputs,3,FALSE),)))</f>
        <v>0</v>
      </c>
      <c r="Z24" s="175">
        <f>IF(S24&lt;Year1,,IF(S24&lt;IF(AND(MONTH($N$14)&gt;=10,MONTH($N$14)&lt;=12),YEAR($N$14)+1,YEAR($N$14)),,IF(S24&gt;1,[1]Calculations!$W24/VLOOKUP(S24,Annual_Inputs,3,FALSE)/$Y$21*Z$21,0)))</f>
        <v>0</v>
      </c>
      <c r="AA24" s="175">
        <f>IF(T24&lt;Year1,,IF(T24&lt;IF(AND(MONTH($N$14)&gt;=10,MONTH($N$14)&lt;=12),YEAR($N$14)+1,YEAR($N$14)),,IF(T24&gt;1,[1]Calculations!$W24/VLOOKUP(T24,Annual_Inputs,3,FALSE)/$Y$21*AA$21,0)))</f>
        <v>0</v>
      </c>
      <c r="AB24" s="175">
        <f>IF(U24&lt;Year1,,IF(U24&lt;IF(AND(MONTH($N$14)&gt;=10,MONTH($N$14)&lt;=12),YEAR($N$14)+1,YEAR($N$14)),,IF(U24&gt;1,[1]Calculations!$W24/VLOOKUP(U24,Annual_Inputs,3,FALSE)/$Y$21*AB$21,0)))</f>
        <v>0</v>
      </c>
      <c r="AC24" s="175">
        <f>IF(V24&lt;Year1,,IF(V24&lt;IF(AND(MONTH($N$14)&gt;=10,MONTH($N$14)&lt;=12),YEAR($N$14)+1,YEAR($N$14)),,IF(V24&gt;1,[1]Calculations!$W24/VLOOKUP(V24,Annual_Inputs,3,FALSE)/$Y$21*AC$21,0)))</f>
        <v>0</v>
      </c>
      <c r="AD24" s="176">
        <f>IF(W24&lt;Year1,,IF(W24&lt;IF(AND(MONTH($N$14)&gt;=10,MONTH($N$14)&lt;=12),YEAR($N$14)+1,YEAR($N$14)),,IF(W24&gt;1,[1]Calculations!$W24/VLOOKUP(W24,Annual_Inputs,3,FALSE)/$Y$21*AD$21,0)))</f>
        <v>0</v>
      </c>
      <c r="AE24" s="170">
        <f t="shared" si="7"/>
        <v>0</v>
      </c>
      <c r="AF24" s="177"/>
      <c r="AG24" s="145">
        <f t="shared" si="5"/>
        <v>0</v>
      </c>
      <c r="AH24" s="83"/>
      <c r="AI24" s="178">
        <v>0</v>
      </c>
      <c r="AJ24" s="173">
        <f>IF($F20="",0,SUMIF(R$23:R$88,$F20,[1]Calculations!$W$23:$W$88))</f>
        <v>1098.75</v>
      </c>
      <c r="AK24" s="173">
        <f>IF($F20="",0,SUMIF(S$23:S$88,$F20,[1]Calculations!$W$23:$W$88))</f>
        <v>1098.75</v>
      </c>
      <c r="AL24" s="173">
        <f>IF($F20="",0,SUMIF(T$23:T$88,$F20,[1]Calculations!$W$23:$W$88))</f>
        <v>1151</v>
      </c>
      <c r="AM24" s="173">
        <f>IF($F20="",0,SUMIF(U$23:U$88,$F20,[1]Calculations!$W$23:$W$88))</f>
        <v>1151</v>
      </c>
      <c r="AN24" s="173">
        <f>IF($F20="",0,SUMIF(V$23:V$88,$F20,[1]Calculations!$W$23:$W$88))</f>
        <v>1151</v>
      </c>
      <c r="AO24" s="173">
        <f>IF($F20="",0,SUMIF(W$23:W$88,$F20,[1]Calculations!$W$23:$W$88))</f>
        <v>1007</v>
      </c>
    </row>
    <row r="25" spans="1:41" ht="12.75" customHeight="1" x14ac:dyDescent="0.25">
      <c r="A25" s="84"/>
      <c r="B25" s="137">
        <f t="shared" si="0"/>
        <v>0</v>
      </c>
      <c r="C25" s="137">
        <f t="shared" si="8"/>
        <v>-9.3895833333333485</v>
      </c>
      <c r="D25" s="138">
        <f t="shared" si="1"/>
        <v>44835</v>
      </c>
      <c r="E25" s="139">
        <v>7</v>
      </c>
      <c r="F25" s="365">
        <f t="shared" si="2"/>
        <v>2023</v>
      </c>
      <c r="G25" s="366"/>
      <c r="H25" s="140"/>
      <c r="I25" s="141"/>
      <c r="J25" s="142"/>
      <c r="K25" s="143">
        <f t="shared" si="3"/>
        <v>0</v>
      </c>
      <c r="L25" s="146" t="str">
        <f t="shared" si="4"/>
        <v/>
      </c>
      <c r="M25" s="88"/>
      <c r="N25" s="163"/>
      <c r="O25" s="164" t="str">
        <f>IF([1]Calculations!T25=1,"",[1]Calculations!T25)</f>
        <v/>
      </c>
      <c r="P25" s="164" t="str">
        <f>[1]Calculations!S25</f>
        <v/>
      </c>
      <c r="Q25" s="165" t="str">
        <f t="shared" si="9"/>
        <v/>
      </c>
      <c r="R25" s="166"/>
      <c r="S25" s="166"/>
      <c r="T25" s="166"/>
      <c r="U25" s="166"/>
      <c r="V25" s="166"/>
      <c r="W25" s="166"/>
      <c r="X25" s="84"/>
      <c r="Y25" s="179">
        <f>IF(R25&lt;Year1,,IF(R25&lt;IF(AND(MONTH($N$14)&gt;=10,MONTH($N$14)&lt;=12),YEAR($N$14)+1,YEAR($N$14)),,IF(R25&gt;1,[1]Calculations!$W25/VLOOKUP(R25,Annual_Inputs,3,FALSE),)))</f>
        <v>0</v>
      </c>
      <c r="Z25" s="175">
        <f>IF(S25&lt;Year1,,IF(S25&lt;IF(AND(MONTH($N$14)&gt;=10,MONTH($N$14)&lt;=12),YEAR($N$14)+1,YEAR($N$14)),,IF(S25&gt;1,[1]Calculations!$W25/VLOOKUP(S25,Annual_Inputs,3,FALSE)/$Y$21*Z$21,0)))</f>
        <v>0</v>
      </c>
      <c r="AA25" s="175">
        <f>IF(T25&lt;Year1,,IF(T25&lt;IF(AND(MONTH($N$14)&gt;=10,MONTH($N$14)&lt;=12),YEAR($N$14)+1,YEAR($N$14)),,IF(T25&gt;1,[1]Calculations!$W25/VLOOKUP(T25,Annual_Inputs,3,FALSE)/$Y$21*AA$21,0)))</f>
        <v>0</v>
      </c>
      <c r="AB25" s="175">
        <f>IF(U25&lt;Year1,,IF(U25&lt;IF(AND(MONTH($N$14)&gt;=10,MONTH($N$14)&lt;=12),YEAR($N$14)+1,YEAR($N$14)),,IF(U25&gt;1,[1]Calculations!$W25/VLOOKUP(U25,Annual_Inputs,3,FALSE)/$Y$21*AB$21,0)))</f>
        <v>0</v>
      </c>
      <c r="AC25" s="175">
        <f>IF(V25&lt;Year1,,IF(V25&lt;IF(AND(MONTH($N$14)&gt;=10,MONTH($N$14)&lt;=12),YEAR($N$14)+1,YEAR($N$14)),,IF(V25&gt;1,[1]Calculations!$W25/VLOOKUP(V25,Annual_Inputs,3,FALSE)/$Y$21*AC$21,0)))</f>
        <v>0</v>
      </c>
      <c r="AD25" s="176">
        <f>IF(W25&lt;Year1,,IF(W25&lt;IF(AND(MONTH($N$14)&gt;=10,MONTH($N$14)&lt;=12),YEAR($N$14)+1,YEAR($N$14)),,IF(W25&gt;1,[1]Calculations!$W25/VLOOKUP(W25,Annual_Inputs,3,FALSE)/$Y$21*AD$21,0)))</f>
        <v>0</v>
      </c>
      <c r="AE25" s="170">
        <f t="shared" si="7"/>
        <v>0</v>
      </c>
      <c r="AF25" s="177"/>
      <c r="AG25" s="145">
        <f t="shared" si="5"/>
        <v>0</v>
      </c>
      <c r="AH25" s="83"/>
      <c r="AI25" s="180"/>
      <c r="AJ25" s="173">
        <f>IF($F21="",0,SUMIF(R$23:R$88,$F21,[1]Calculations!$W$23:$W$88))</f>
        <v>0</v>
      </c>
      <c r="AK25" s="173">
        <f>IF($F21="",0,SUMIF(S$23:S$88,$F21,[1]Calculations!$W$23:$W$88))</f>
        <v>0</v>
      </c>
      <c r="AL25" s="173">
        <f>IF($F21="",0,SUMIF(T$23:T$88,$F21,[1]Calculations!$W$23:$W$88))</f>
        <v>1098.75</v>
      </c>
      <c r="AM25" s="173">
        <f>IF($F21="",0,SUMIF(U$23:U$88,$F21,[1]Calculations!$W$23:$W$88))</f>
        <v>1098.75</v>
      </c>
      <c r="AN25" s="173">
        <f>IF($F21="",0,SUMIF(V$23:V$88,$F21,[1]Calculations!$W$23:$W$88))</f>
        <v>1098.75</v>
      </c>
      <c r="AO25" s="173">
        <f>IF($F21="",0,SUMIF(W$23:W$88,$F21,[1]Calculations!$W$23:$W$88))</f>
        <v>1151</v>
      </c>
    </row>
    <row r="26" spans="1:41" ht="12.75" customHeight="1" x14ac:dyDescent="0.25">
      <c r="A26" s="84"/>
      <c r="B26" s="137">
        <f t="shared" si="0"/>
        <v>0</v>
      </c>
      <c r="C26" s="137">
        <f t="shared" si="8"/>
        <v>-9.3895833333333485</v>
      </c>
      <c r="D26" s="138">
        <f t="shared" si="1"/>
        <v>45200</v>
      </c>
      <c r="E26" s="139">
        <v>8</v>
      </c>
      <c r="F26" s="365">
        <f t="shared" si="2"/>
        <v>2024</v>
      </c>
      <c r="G26" s="366"/>
      <c r="H26" s="140"/>
      <c r="I26" s="141"/>
      <c r="J26" s="142"/>
      <c r="K26" s="143">
        <f t="shared" si="3"/>
        <v>0</v>
      </c>
      <c r="L26" s="146" t="str">
        <f t="shared" si="4"/>
        <v/>
      </c>
      <c r="M26" s="88"/>
      <c r="N26" s="163"/>
      <c r="O26" s="164" t="str">
        <f>IF([1]Calculations!T26=1,"",[1]Calculations!T26)</f>
        <v/>
      </c>
      <c r="P26" s="164" t="str">
        <f>[1]Calculations!S26</f>
        <v/>
      </c>
      <c r="Q26" s="165" t="str">
        <f t="shared" si="9"/>
        <v/>
      </c>
      <c r="R26" s="166"/>
      <c r="S26" s="166"/>
      <c r="T26" s="166"/>
      <c r="U26" s="166"/>
      <c r="V26" s="166"/>
      <c r="W26" s="166"/>
      <c r="X26" s="84"/>
      <c r="Y26" s="179">
        <f>IF(R26&lt;Year1,,IF(R26&lt;IF(AND(MONTH($N$14)&gt;=10,MONTH($N$14)&lt;=12),YEAR($N$14)+1,YEAR($N$14)),,IF(R26&gt;1,[1]Calculations!$W26/VLOOKUP(R26,Annual_Inputs,3,FALSE),)))</f>
        <v>0</v>
      </c>
      <c r="Z26" s="175">
        <f>IF(S26&lt;Year1,,IF(S26&lt;IF(AND(MONTH($N$14)&gt;=10,MONTH($N$14)&lt;=12),YEAR($N$14)+1,YEAR($N$14)),,IF(S26&gt;1,[1]Calculations!$W26/VLOOKUP(S26,Annual_Inputs,3,FALSE)/$Y$21*Z$21,0)))</f>
        <v>0</v>
      </c>
      <c r="AA26" s="175">
        <f>IF(T26&lt;Year1,,IF(T26&lt;IF(AND(MONTH($N$14)&gt;=10,MONTH($N$14)&lt;=12),YEAR($N$14)+1,YEAR($N$14)),,IF(T26&gt;1,[1]Calculations!$W26/VLOOKUP(T26,Annual_Inputs,3,FALSE)/$Y$21*AA$21,0)))</f>
        <v>0</v>
      </c>
      <c r="AB26" s="175">
        <f>IF(U26&lt;Year1,,IF(U26&lt;IF(AND(MONTH($N$14)&gt;=10,MONTH($N$14)&lt;=12),YEAR($N$14)+1,YEAR($N$14)),,IF(U26&gt;1,[1]Calculations!$W26/VLOOKUP(U26,Annual_Inputs,3,FALSE)/$Y$21*AB$21,0)))</f>
        <v>0</v>
      </c>
      <c r="AC26" s="175">
        <f>IF(V26&lt;Year1,,IF(V26&lt;IF(AND(MONTH($N$14)&gt;=10,MONTH($N$14)&lt;=12),YEAR($N$14)+1,YEAR($N$14)),,IF(V26&gt;1,[1]Calculations!$W26/VLOOKUP(V26,Annual_Inputs,3,FALSE)/$Y$21*AC$21,0)))</f>
        <v>0</v>
      </c>
      <c r="AD26" s="176">
        <f>IF(W26&lt;Year1,,IF(W26&lt;IF(AND(MONTH($N$14)&gt;=10,MONTH($N$14)&lt;=12),YEAR($N$14)+1,YEAR($N$14)),,IF(W26&gt;1,[1]Calculations!$W26/VLOOKUP(W26,Annual_Inputs,3,FALSE)/$Y$21*AD$21,0)))</f>
        <v>0</v>
      </c>
      <c r="AE26" s="170">
        <f t="shared" si="7"/>
        <v>0</v>
      </c>
      <c r="AF26" s="177"/>
      <c r="AG26" s="145">
        <f t="shared" si="5"/>
        <v>0</v>
      </c>
      <c r="AH26" s="83"/>
      <c r="AI26" s="181"/>
      <c r="AJ26" s="173">
        <f>IF($F22="",0,SUMIF(R$23:R$88,$F22,[1]Calculations!$W$23:$W$88))</f>
        <v>0</v>
      </c>
      <c r="AK26" s="173">
        <f>IF($F22="",0,SUMIF(S$23:S$88,$F22,[1]Calculations!$W$23:$W$88))</f>
        <v>0</v>
      </c>
      <c r="AL26" s="173">
        <f>IF($F22="",0,SUMIF(T$23:T$88,$F22,[1]Calculations!$W$23:$W$88))</f>
        <v>0</v>
      </c>
      <c r="AM26" s="173">
        <f>IF($F22="",0,SUMIF(U$23:U$88,$F22,[1]Calculations!$W$23:$W$88))</f>
        <v>0</v>
      </c>
      <c r="AN26" s="173">
        <f>IF($F22="",0,SUMIF(V$23:V$88,$F22,[1]Calculations!$W$23:$W$88))</f>
        <v>0</v>
      </c>
      <c r="AO26" s="173">
        <f>IF($F22="",0,SUMIF(W$23:W$88,$F22,[1]Calculations!$W$23:$W$88))</f>
        <v>0</v>
      </c>
    </row>
    <row r="27" spans="1:41" ht="12.75" customHeight="1" thickBot="1" x14ac:dyDescent="0.3">
      <c r="A27" s="84"/>
      <c r="B27" s="137">
        <f t="shared" si="0"/>
        <v>0</v>
      </c>
      <c r="C27" s="137">
        <f t="shared" si="8"/>
        <v>-9.3895833333333485</v>
      </c>
      <c r="D27" s="138">
        <f t="shared" si="1"/>
        <v>45566</v>
      </c>
      <c r="E27" s="139">
        <v>9</v>
      </c>
      <c r="F27" s="365">
        <f t="shared" si="2"/>
        <v>2025</v>
      </c>
      <c r="G27" s="366"/>
      <c r="H27" s="140"/>
      <c r="I27" s="141"/>
      <c r="J27" s="142"/>
      <c r="K27" s="143">
        <f t="shared" si="3"/>
        <v>0</v>
      </c>
      <c r="L27" s="146" t="str">
        <f t="shared" si="4"/>
        <v/>
      </c>
      <c r="M27" s="88"/>
      <c r="N27" s="163"/>
      <c r="O27" s="164" t="str">
        <f>IF([1]Calculations!T27=1,"",[1]Calculations!T27)</f>
        <v/>
      </c>
      <c r="P27" s="164" t="str">
        <f>[1]Calculations!S27</f>
        <v/>
      </c>
      <c r="Q27" s="165" t="str">
        <f t="shared" si="9"/>
        <v/>
      </c>
      <c r="R27" s="166"/>
      <c r="S27" s="166"/>
      <c r="T27" s="166"/>
      <c r="U27" s="166"/>
      <c r="V27" s="166"/>
      <c r="W27" s="166"/>
      <c r="X27" s="84"/>
      <c r="Y27" s="179">
        <f>IF(R27&lt;Year1,,IF(R27&lt;IF(AND(MONTH($N$14)&gt;=10,MONTH($N$14)&lt;=12),YEAR($N$14)+1,YEAR($N$14)),,IF(R27&gt;1,[1]Calculations!$W27/VLOOKUP(R27,Annual_Inputs,3,FALSE),)))</f>
        <v>0</v>
      </c>
      <c r="Z27" s="175">
        <f>IF(S27&lt;Year1,,IF(S27&lt;IF(AND(MONTH($N$14)&gt;=10,MONTH($N$14)&lt;=12),YEAR($N$14)+1,YEAR($N$14)),,IF(S27&gt;1,[1]Calculations!$W27/VLOOKUP(S27,Annual_Inputs,3,FALSE)/$Y$21*Z$21,0)))</f>
        <v>0</v>
      </c>
      <c r="AA27" s="175">
        <f>IF(T27&lt;Year1,,IF(T27&lt;IF(AND(MONTH($N$14)&gt;=10,MONTH($N$14)&lt;=12),YEAR($N$14)+1,YEAR($N$14)),,IF(T27&gt;1,[1]Calculations!$W27/VLOOKUP(T27,Annual_Inputs,3,FALSE)/$Y$21*AA$21,0)))</f>
        <v>0</v>
      </c>
      <c r="AB27" s="175">
        <f>IF(U27&lt;Year1,,IF(U27&lt;IF(AND(MONTH($N$14)&gt;=10,MONTH($N$14)&lt;=12),YEAR($N$14)+1,YEAR($N$14)),,IF(U27&gt;1,[1]Calculations!$W27/VLOOKUP(U27,Annual_Inputs,3,FALSE)/$Y$21*AB$21,0)))</f>
        <v>0</v>
      </c>
      <c r="AC27" s="175">
        <f>IF(V27&lt;Year1,,IF(V27&lt;IF(AND(MONTH($N$14)&gt;=10,MONTH($N$14)&lt;=12),YEAR($N$14)+1,YEAR($N$14)),,IF(V27&gt;1,[1]Calculations!$W27/VLOOKUP(V27,Annual_Inputs,3,FALSE)/$Y$21*AC$21,0)))</f>
        <v>0</v>
      </c>
      <c r="AD27" s="176">
        <f>IF(W27&lt;Year1,,IF(W27&lt;IF(AND(MONTH($N$14)&gt;=10,MONTH($N$14)&lt;=12),YEAR($N$14)+1,YEAR($N$14)),,IF(W27&gt;1,[1]Calculations!$W27/VLOOKUP(W27,Annual_Inputs,3,FALSE)/$Y$21*AD$21,0)))</f>
        <v>0</v>
      </c>
      <c r="AE27" s="170">
        <f t="shared" si="7"/>
        <v>0</v>
      </c>
      <c r="AF27" s="177"/>
      <c r="AG27" s="145">
        <f t="shared" si="5"/>
        <v>0</v>
      </c>
      <c r="AH27" s="83"/>
      <c r="AI27" s="182">
        <f>IF($AI$23+GraphScrollValue&gt;=20,20-GraphScrollValue,$AI$23)</f>
        <v>3</v>
      </c>
      <c r="AJ27" s="173">
        <f>IF($F23="",0,SUMIF(R$23:R$88,$F23,[1]Calculations!$W$23:$W$88))</f>
        <v>0</v>
      </c>
      <c r="AK27" s="173">
        <f>IF($F23="",0,SUMIF(S$23:S$88,$F23,[1]Calculations!$W$23:$W$88))</f>
        <v>0</v>
      </c>
      <c r="AL27" s="173">
        <f>IF($F23="",0,SUMIF(T$23:T$88,$F23,[1]Calculations!$W$23:$W$88))</f>
        <v>0</v>
      </c>
      <c r="AM27" s="173">
        <f>IF($F23="",0,SUMIF(U$23:U$88,$F23,[1]Calculations!$W$23:$W$88))</f>
        <v>0</v>
      </c>
      <c r="AN27" s="173">
        <f>IF($F23="",0,SUMIF(V$23:V$88,$F23,[1]Calculations!$W$23:$W$88))</f>
        <v>0</v>
      </c>
      <c r="AO27" s="173">
        <f>IF($F23="",0,SUMIF(W$23:W$88,$F23,[1]Calculations!$W$23:$W$88))</f>
        <v>0</v>
      </c>
    </row>
    <row r="28" spans="1:41" ht="12.75" customHeight="1" x14ac:dyDescent="0.25">
      <c r="A28" s="84"/>
      <c r="B28" s="137">
        <f t="shared" si="0"/>
        <v>0</v>
      </c>
      <c r="C28" s="137">
        <f t="shared" si="8"/>
        <v>-9.3895833333333485</v>
      </c>
      <c r="D28" s="138">
        <f t="shared" si="1"/>
        <v>45931</v>
      </c>
      <c r="E28" s="139">
        <v>10</v>
      </c>
      <c r="F28" s="365">
        <f>IF(ISNUMBER(F27),(F27+1),"")</f>
        <v>2026</v>
      </c>
      <c r="G28" s="366"/>
      <c r="H28" s="140"/>
      <c r="I28" s="141"/>
      <c r="J28" s="142"/>
      <c r="K28" s="143">
        <f t="shared" si="3"/>
        <v>0</v>
      </c>
      <c r="L28" s="146" t="str">
        <f t="shared" si="4"/>
        <v/>
      </c>
      <c r="M28" s="88"/>
      <c r="N28" s="163"/>
      <c r="O28" s="164" t="str">
        <f>IF([1]Calculations!T28=1,"",[1]Calculations!T28)</f>
        <v/>
      </c>
      <c r="P28" s="164" t="str">
        <f>[1]Calculations!S28</f>
        <v/>
      </c>
      <c r="Q28" s="165" t="str">
        <f t="shared" si="9"/>
        <v/>
      </c>
      <c r="R28" s="166"/>
      <c r="S28" s="166"/>
      <c r="T28" s="166"/>
      <c r="U28" s="166"/>
      <c r="V28" s="166"/>
      <c r="W28" s="166"/>
      <c r="X28" s="84"/>
      <c r="Y28" s="179">
        <f>IF(R28&lt;Year1,,IF(R28&lt;IF(AND(MONTH($N$14)&gt;=10,MONTH($N$14)&lt;=12),YEAR($N$14)+1,YEAR($N$14)),,IF(R28&gt;1,[1]Calculations!$W28/VLOOKUP(R28,Annual_Inputs,3,FALSE),)))</f>
        <v>0</v>
      </c>
      <c r="Z28" s="175">
        <f>IF(S28&lt;Year1,,IF(S28&lt;IF(AND(MONTH($N$14)&gt;=10,MONTH($N$14)&lt;=12),YEAR($N$14)+1,YEAR($N$14)),,IF(S28&gt;1,[1]Calculations!$W28/VLOOKUP(S28,Annual_Inputs,3,FALSE)/$Y$21*Z$21,0)))</f>
        <v>0</v>
      </c>
      <c r="AA28" s="175">
        <f>IF(T28&lt;Year1,,IF(T28&lt;IF(AND(MONTH($N$14)&gt;=10,MONTH($N$14)&lt;=12),YEAR($N$14)+1,YEAR($N$14)),,IF(T28&gt;1,[1]Calculations!$W28/VLOOKUP(T28,Annual_Inputs,3,FALSE)/$Y$21*AA$21,0)))</f>
        <v>0</v>
      </c>
      <c r="AB28" s="175">
        <f>IF(U28&lt;Year1,,IF(U28&lt;IF(AND(MONTH($N$14)&gt;=10,MONTH($N$14)&lt;=12),YEAR($N$14)+1,YEAR($N$14)),,IF(U28&gt;1,[1]Calculations!$W28/VLOOKUP(U28,Annual_Inputs,3,FALSE)/$Y$21*AB$21,0)))</f>
        <v>0</v>
      </c>
      <c r="AC28" s="175">
        <f>IF(V28&lt;Year1,,IF(V28&lt;IF(AND(MONTH($N$14)&gt;=10,MONTH($N$14)&lt;=12),YEAR($N$14)+1,YEAR($N$14)),,IF(V28&gt;1,[1]Calculations!$W28/VLOOKUP(V28,Annual_Inputs,3,FALSE)/$Y$21*AC$21,0)))</f>
        <v>0</v>
      </c>
      <c r="AD28" s="176">
        <f>IF(W28&lt;Year1,,IF(W28&lt;IF(AND(MONTH($N$14)&gt;=10,MONTH($N$14)&lt;=12),YEAR($N$14)+1,YEAR($N$14)),,IF(W28&gt;1,[1]Calculations!$W28/VLOOKUP(W28,Annual_Inputs,3,FALSE)/$Y$21*AD$21,0)))</f>
        <v>0</v>
      </c>
      <c r="AE28" s="170">
        <f t="shared" si="7"/>
        <v>0</v>
      </c>
      <c r="AF28" s="177"/>
      <c r="AG28" s="145">
        <f t="shared" si="5"/>
        <v>0</v>
      </c>
      <c r="AH28" s="83"/>
      <c r="AI28" s="153"/>
      <c r="AJ28" s="173">
        <f>IF($F24="",0,SUMIF(R$23:R$88,$F24,[1]Calculations!$W$23:$W$88))</f>
        <v>0</v>
      </c>
      <c r="AK28" s="173">
        <f>IF($F24="",0,SUMIF(S$23:S$88,$F24,[1]Calculations!$W$23:$W$88))</f>
        <v>0</v>
      </c>
      <c r="AL28" s="173">
        <f>IF($F24="",0,SUMIF(T$23:T$88,$F24,[1]Calculations!$W$23:$W$88))</f>
        <v>0</v>
      </c>
      <c r="AM28" s="173">
        <f>IF($F24="",0,SUMIF(U$23:U$88,$F24,[1]Calculations!$W$23:$W$88))</f>
        <v>0</v>
      </c>
      <c r="AN28" s="173">
        <f>IF($F24="",0,SUMIF(V$23:V$88,$F24,[1]Calculations!$W$23:$W$88))</f>
        <v>0</v>
      </c>
      <c r="AO28" s="173">
        <f>IF($F24="",0,SUMIF(W$23:W$88,$F24,[1]Calculations!$W$23:$W$88))</f>
        <v>0</v>
      </c>
    </row>
    <row r="29" spans="1:41" ht="12.75" customHeight="1" x14ac:dyDescent="0.25">
      <c r="A29" s="84"/>
      <c r="B29" s="137">
        <f t="shared" si="0"/>
        <v>0</v>
      </c>
      <c r="C29" s="137">
        <f t="shared" si="8"/>
        <v>-9.3895833333333485</v>
      </c>
      <c r="D29" s="138">
        <f t="shared" si="1"/>
        <v>46296</v>
      </c>
      <c r="E29" s="139">
        <v>11</v>
      </c>
      <c r="F29" s="365">
        <f>IF(ISNUMBER(F28),(F28+1),"")</f>
        <v>2027</v>
      </c>
      <c r="G29" s="366"/>
      <c r="H29" s="140"/>
      <c r="I29" s="141"/>
      <c r="J29" s="142"/>
      <c r="K29" s="143">
        <f t="shared" si="3"/>
        <v>0</v>
      </c>
      <c r="L29" s="146" t="str">
        <f t="shared" si="4"/>
        <v/>
      </c>
      <c r="M29" s="88"/>
      <c r="N29" s="163"/>
      <c r="O29" s="164" t="str">
        <f>IF([1]Calculations!T29=1,"",[1]Calculations!T29)</f>
        <v/>
      </c>
      <c r="P29" s="164" t="str">
        <f>[1]Calculations!S29</f>
        <v/>
      </c>
      <c r="Q29" s="165" t="str">
        <f t="shared" si="9"/>
        <v/>
      </c>
      <c r="R29" s="166"/>
      <c r="S29" s="166"/>
      <c r="T29" s="166"/>
      <c r="U29" s="166"/>
      <c r="V29" s="166"/>
      <c r="W29" s="166"/>
      <c r="X29" s="84"/>
      <c r="Y29" s="179">
        <f>IF(R29&lt;Year1,,IF(R29&lt;IF(AND(MONTH($N$14)&gt;=10,MONTH($N$14)&lt;=12),YEAR($N$14)+1,YEAR($N$14)),,IF(R29&gt;1,[1]Calculations!$W29/VLOOKUP(R29,Annual_Inputs,3,FALSE),)))</f>
        <v>0</v>
      </c>
      <c r="Z29" s="175">
        <f>IF(S29&lt;Year1,,IF(S29&lt;IF(AND(MONTH($N$14)&gt;=10,MONTH($N$14)&lt;=12),YEAR($N$14)+1,YEAR($N$14)),,IF(S29&gt;1,[1]Calculations!$W29/VLOOKUP(S29,Annual_Inputs,3,FALSE)/$Y$21*Z$21,0)))</f>
        <v>0</v>
      </c>
      <c r="AA29" s="175">
        <f>IF(T29&lt;Year1,,IF(T29&lt;IF(AND(MONTH($N$14)&gt;=10,MONTH($N$14)&lt;=12),YEAR($N$14)+1,YEAR($N$14)),,IF(T29&gt;1,[1]Calculations!$W29/VLOOKUP(T29,Annual_Inputs,3,FALSE)/$Y$21*AA$21,0)))</f>
        <v>0</v>
      </c>
      <c r="AB29" s="175">
        <f>IF(U29&lt;Year1,,IF(U29&lt;IF(AND(MONTH($N$14)&gt;=10,MONTH($N$14)&lt;=12),YEAR($N$14)+1,YEAR($N$14)),,IF(U29&gt;1,[1]Calculations!$W29/VLOOKUP(U29,Annual_Inputs,3,FALSE)/$Y$21*AB$21,0)))</f>
        <v>0</v>
      </c>
      <c r="AC29" s="175">
        <f>IF(V29&lt;Year1,,IF(V29&lt;IF(AND(MONTH($N$14)&gt;=10,MONTH($N$14)&lt;=12),YEAR($N$14)+1,YEAR($N$14)),,IF(V29&gt;1,[1]Calculations!$W29/VLOOKUP(V29,Annual_Inputs,3,FALSE)/$Y$21*AC$21,0)))</f>
        <v>0</v>
      </c>
      <c r="AD29" s="176">
        <f>IF(W29&lt;Year1,,IF(W29&lt;IF(AND(MONTH($N$14)&gt;=10,MONTH($N$14)&lt;=12),YEAR($N$14)+1,YEAR($N$14)),,IF(W29&gt;1,[1]Calculations!$W29/VLOOKUP(W29,Annual_Inputs,3,FALSE)/$Y$21*AD$21,0)))</f>
        <v>0</v>
      </c>
      <c r="AE29" s="170">
        <f t="shared" si="7"/>
        <v>0</v>
      </c>
      <c r="AF29" s="177"/>
      <c r="AG29" s="145">
        <f t="shared" si="5"/>
        <v>0</v>
      </c>
      <c r="AH29" s="83"/>
      <c r="AI29" s="153"/>
      <c r="AJ29" s="173">
        <f>IF($F25="",0,SUMIF(R$23:R$88,$F25,[1]Calculations!$W$23:$W$88))</f>
        <v>0</v>
      </c>
      <c r="AK29" s="173">
        <f>IF($F25="",0,SUMIF(S$23:S$88,$F25,[1]Calculations!$W$23:$W$88))</f>
        <v>0</v>
      </c>
      <c r="AL29" s="173">
        <f>IF($F25="",0,SUMIF(T$23:T$88,$F25,[1]Calculations!$W$23:$W$88))</f>
        <v>0</v>
      </c>
      <c r="AM29" s="173">
        <f>IF($F25="",0,SUMIF(U$23:U$88,$F25,[1]Calculations!$W$23:$W$88))</f>
        <v>0</v>
      </c>
      <c r="AN29" s="173">
        <f>IF($F25="",0,SUMIF(V$23:V$88,$F25,[1]Calculations!$W$23:$W$88))</f>
        <v>0</v>
      </c>
      <c r="AO29" s="173">
        <f>IF($F25="",0,SUMIF(W$23:W$88,$F25,[1]Calculations!$W$23:$W$88))</f>
        <v>0</v>
      </c>
    </row>
    <row r="30" spans="1:41" ht="12.75" customHeight="1" x14ac:dyDescent="0.25">
      <c r="A30" s="84"/>
      <c r="B30" s="137">
        <f t="shared" si="0"/>
        <v>0</v>
      </c>
      <c r="C30" s="137">
        <f t="shared" si="8"/>
        <v>-9.3895833333333485</v>
      </c>
      <c r="D30" s="138">
        <f t="shared" si="1"/>
        <v>46661</v>
      </c>
      <c r="E30" s="139">
        <v>12</v>
      </c>
      <c r="F30" s="365">
        <f>IF(ISNUMBER(F29),(F29+1),"")</f>
        <v>2028</v>
      </c>
      <c r="G30" s="366"/>
      <c r="H30" s="140"/>
      <c r="I30" s="141"/>
      <c r="J30" s="142"/>
      <c r="K30" s="143">
        <f t="shared" si="3"/>
        <v>0</v>
      </c>
      <c r="L30" s="146" t="str">
        <f t="shared" si="4"/>
        <v/>
      </c>
      <c r="M30" s="88"/>
      <c r="N30" s="163"/>
      <c r="O30" s="164" t="str">
        <f>IF([1]Calculations!T30=1,"",[1]Calculations!T30)</f>
        <v/>
      </c>
      <c r="P30" s="164" t="str">
        <f>[1]Calculations!S30</f>
        <v/>
      </c>
      <c r="Q30" s="165" t="str">
        <f t="shared" si="9"/>
        <v/>
      </c>
      <c r="R30" s="166"/>
      <c r="S30" s="166"/>
      <c r="T30" s="166"/>
      <c r="U30" s="166"/>
      <c r="V30" s="166"/>
      <c r="W30" s="166"/>
      <c r="X30" s="84"/>
      <c r="Y30" s="179">
        <f>IF(R30&lt;Year1,,IF(R30&lt;IF(AND(MONTH($N$14)&gt;=10,MONTH($N$14)&lt;=12),YEAR($N$14)+1,YEAR($N$14)),,IF(R30&gt;1,[1]Calculations!$W30/VLOOKUP(R30,Annual_Inputs,3,FALSE),)))</f>
        <v>0</v>
      </c>
      <c r="Z30" s="175">
        <f>IF(S30&lt;Year1,,IF(S30&lt;IF(AND(MONTH($N$14)&gt;=10,MONTH($N$14)&lt;=12),YEAR($N$14)+1,YEAR($N$14)),,IF(S30&gt;1,[1]Calculations!$W30/VLOOKUP(S30,Annual_Inputs,3,FALSE)/$Y$21*Z$21,0)))</f>
        <v>0</v>
      </c>
      <c r="AA30" s="175">
        <f>IF(T30&lt;Year1,,IF(T30&lt;IF(AND(MONTH($N$14)&gt;=10,MONTH($N$14)&lt;=12),YEAR($N$14)+1,YEAR($N$14)),,IF(T30&gt;1,[1]Calculations!$W30/VLOOKUP(T30,Annual_Inputs,3,FALSE)/$Y$21*AA$21,0)))</f>
        <v>0</v>
      </c>
      <c r="AB30" s="175">
        <f>IF(U30&lt;Year1,,IF(U30&lt;IF(AND(MONTH($N$14)&gt;=10,MONTH($N$14)&lt;=12),YEAR($N$14)+1,YEAR($N$14)),,IF(U30&gt;1,[1]Calculations!$W30/VLOOKUP(U30,Annual_Inputs,3,FALSE)/$Y$21*AB$21,0)))</f>
        <v>0</v>
      </c>
      <c r="AC30" s="175">
        <f>IF(V30&lt;Year1,,IF(V30&lt;IF(AND(MONTH($N$14)&gt;=10,MONTH($N$14)&lt;=12),YEAR($N$14)+1,YEAR($N$14)),,IF(V30&gt;1,[1]Calculations!$W30/VLOOKUP(V30,Annual_Inputs,3,FALSE)/$Y$21*AC$21,0)))</f>
        <v>0</v>
      </c>
      <c r="AD30" s="176">
        <f>IF(W30&lt;Year1,,IF(W30&lt;IF(AND(MONTH($N$14)&gt;=10,MONTH($N$14)&lt;=12),YEAR($N$14)+1,YEAR($N$14)),,IF(W30&gt;1,[1]Calculations!$W30/VLOOKUP(W30,Annual_Inputs,3,FALSE)/$Y$21*AD$21,0)))</f>
        <v>0</v>
      </c>
      <c r="AE30" s="170">
        <f t="shared" si="7"/>
        <v>0</v>
      </c>
      <c r="AF30" s="177"/>
      <c r="AG30" s="145">
        <f t="shared" si="5"/>
        <v>0</v>
      </c>
      <c r="AH30" s="83"/>
      <c r="AI30" s="153"/>
      <c r="AJ30" s="173">
        <f>IF($F26="",0,SUMIF(R$23:R$88,$F26,[1]Calculations!$W$23:$W$88))</f>
        <v>0</v>
      </c>
      <c r="AK30" s="173">
        <f>IF($F26="",0,SUMIF(S$23:S$88,$F26,[1]Calculations!$W$23:$W$88))</f>
        <v>0</v>
      </c>
      <c r="AL30" s="173">
        <f>IF($F26="",0,SUMIF(T$23:T$88,$F26,[1]Calculations!$W$23:$W$88))</f>
        <v>0</v>
      </c>
      <c r="AM30" s="173">
        <f>IF($F26="",0,SUMIF(U$23:U$88,$F26,[1]Calculations!$W$23:$W$88))</f>
        <v>0</v>
      </c>
      <c r="AN30" s="173">
        <f>IF($F26="",0,SUMIF(V$23:V$88,$F26,[1]Calculations!$W$23:$W$88))</f>
        <v>0</v>
      </c>
      <c r="AO30" s="173">
        <f>IF($F26="",0,SUMIF(W$23:W$88,$F26,[1]Calculations!$W$23:$W$88))</f>
        <v>0</v>
      </c>
    </row>
    <row r="31" spans="1:41" ht="12.75" customHeight="1" x14ac:dyDescent="0.25">
      <c r="A31" s="84"/>
      <c r="B31" s="137">
        <f t="shared" si="0"/>
        <v>0</v>
      </c>
      <c r="C31" s="137">
        <f t="shared" si="8"/>
        <v>-9.3895833333333485</v>
      </c>
      <c r="D31" s="138">
        <f t="shared" si="1"/>
        <v>47027</v>
      </c>
      <c r="E31" s="139">
        <v>13</v>
      </c>
      <c r="F31" s="365">
        <f>IF(ISNUMBER(F30),(F30+1),"")</f>
        <v>2029</v>
      </c>
      <c r="G31" s="366"/>
      <c r="H31" s="140"/>
      <c r="I31" s="141"/>
      <c r="J31" s="142"/>
      <c r="K31" s="143">
        <f t="shared" si="3"/>
        <v>0</v>
      </c>
      <c r="L31" s="146" t="str">
        <f t="shared" si="4"/>
        <v/>
      </c>
      <c r="M31" s="88"/>
      <c r="N31" s="163"/>
      <c r="O31" s="164" t="str">
        <f>IF([1]Calculations!T31=1,"",[1]Calculations!T31)</f>
        <v/>
      </c>
      <c r="P31" s="164" t="str">
        <f>[1]Calculations!S31</f>
        <v/>
      </c>
      <c r="Q31" s="165" t="str">
        <f t="shared" si="9"/>
        <v/>
      </c>
      <c r="R31" s="166"/>
      <c r="S31" s="166"/>
      <c r="T31" s="166"/>
      <c r="U31" s="166"/>
      <c r="V31" s="166"/>
      <c r="W31" s="166"/>
      <c r="X31" s="84"/>
      <c r="Y31" s="179">
        <f>IF(R31&lt;Year1,,IF(R31&lt;IF(AND(MONTH($N$14)&gt;=10,MONTH($N$14)&lt;=12),YEAR($N$14)+1,YEAR($N$14)),,IF(R31&gt;1,[1]Calculations!$W31/VLOOKUP(R31,Annual_Inputs,3,FALSE),)))</f>
        <v>0</v>
      </c>
      <c r="Z31" s="175">
        <f>IF(S31&lt;Year1,,IF(S31&lt;IF(AND(MONTH($N$14)&gt;=10,MONTH($N$14)&lt;=12),YEAR($N$14)+1,YEAR($N$14)),,IF(S31&gt;1,[1]Calculations!$W31/VLOOKUP(S31,Annual_Inputs,3,FALSE)/$Y$21*Z$21,0)))</f>
        <v>0</v>
      </c>
      <c r="AA31" s="175">
        <f>IF(T31&lt;Year1,,IF(T31&lt;IF(AND(MONTH($N$14)&gt;=10,MONTH($N$14)&lt;=12),YEAR($N$14)+1,YEAR($N$14)),,IF(T31&gt;1,[1]Calculations!$W31/VLOOKUP(T31,Annual_Inputs,3,FALSE)/$Y$21*AA$21,0)))</f>
        <v>0</v>
      </c>
      <c r="AB31" s="175">
        <f>IF(U31&lt;Year1,,IF(U31&lt;IF(AND(MONTH($N$14)&gt;=10,MONTH($N$14)&lt;=12),YEAR($N$14)+1,YEAR($N$14)),,IF(U31&gt;1,[1]Calculations!$W31/VLOOKUP(U31,Annual_Inputs,3,FALSE)/$Y$21*AB$21,0)))</f>
        <v>0</v>
      </c>
      <c r="AC31" s="175">
        <f>IF(V31&lt;Year1,,IF(V31&lt;IF(AND(MONTH($N$14)&gt;=10,MONTH($N$14)&lt;=12),YEAR($N$14)+1,YEAR($N$14)),,IF(V31&gt;1,[1]Calculations!$W31/VLOOKUP(V31,Annual_Inputs,3,FALSE)/$Y$21*AC$21,0)))</f>
        <v>0</v>
      </c>
      <c r="AD31" s="176">
        <f>IF(W31&lt;Year1,,IF(W31&lt;IF(AND(MONTH($N$14)&gt;=10,MONTH($N$14)&lt;=12),YEAR($N$14)+1,YEAR($N$14)),,IF(W31&gt;1,[1]Calculations!$W31/VLOOKUP(W31,Annual_Inputs,3,FALSE)/$Y$21*AD$21,0)))</f>
        <v>0</v>
      </c>
      <c r="AE31" s="170">
        <f t="shared" si="7"/>
        <v>0</v>
      </c>
      <c r="AF31" s="177"/>
      <c r="AG31" s="145">
        <f t="shared" si="5"/>
        <v>0</v>
      </c>
      <c r="AH31" s="83"/>
      <c r="AI31" s="153"/>
      <c r="AJ31" s="173">
        <f>IF($F27="",0,SUMIF(R$23:R$88,$F27,[1]Calculations!$W$23:$W$88))</f>
        <v>0</v>
      </c>
      <c r="AK31" s="173">
        <f>IF($F27="",0,SUMIF(S$23:S$88,$F27,[1]Calculations!$W$23:$W$88))</f>
        <v>0</v>
      </c>
      <c r="AL31" s="173">
        <f>IF($F27="",0,SUMIF(T$23:T$88,$F27,[1]Calculations!$W$23:$W$88))</f>
        <v>0</v>
      </c>
      <c r="AM31" s="173">
        <f>IF($F27="",0,SUMIF(U$23:U$88,$F27,[1]Calculations!$W$23:$W$88))</f>
        <v>0</v>
      </c>
      <c r="AN31" s="173">
        <f>IF($F27="",0,SUMIF(V$23:V$88,$F27,[1]Calculations!$W$23:$W$88))</f>
        <v>0</v>
      </c>
      <c r="AO31" s="173">
        <f>IF($F27="",0,SUMIF(W$23:W$88,$F27,[1]Calculations!$W$23:$W$88))</f>
        <v>0</v>
      </c>
    </row>
    <row r="32" spans="1:41" ht="12.75" customHeight="1" x14ac:dyDescent="0.25">
      <c r="A32" s="84"/>
      <c r="B32" s="137">
        <f t="shared" si="0"/>
        <v>0</v>
      </c>
      <c r="C32" s="137">
        <f t="shared" si="8"/>
        <v>-9.3895833333333485</v>
      </c>
      <c r="D32" s="138">
        <f t="shared" si="1"/>
        <v>47392</v>
      </c>
      <c r="E32" s="139">
        <v>14</v>
      </c>
      <c r="F32" s="365">
        <f>IF(ISNUMBER(F31),(F31+1),"")</f>
        <v>2030</v>
      </c>
      <c r="G32" s="366"/>
      <c r="H32" s="140"/>
      <c r="I32" s="141"/>
      <c r="J32" s="142"/>
      <c r="K32" s="143">
        <f t="shared" si="3"/>
        <v>0</v>
      </c>
      <c r="L32" s="146" t="str">
        <f t="shared" si="4"/>
        <v/>
      </c>
      <c r="M32" s="88"/>
      <c r="N32" s="163"/>
      <c r="O32" s="164" t="str">
        <f>IF([1]Calculations!T32=1,"",[1]Calculations!T32)</f>
        <v/>
      </c>
      <c r="P32" s="164" t="str">
        <f>[1]Calculations!S32</f>
        <v/>
      </c>
      <c r="Q32" s="165" t="str">
        <f t="shared" si="9"/>
        <v/>
      </c>
      <c r="R32" s="166"/>
      <c r="S32" s="166"/>
      <c r="T32" s="166"/>
      <c r="U32" s="166"/>
      <c r="V32" s="166"/>
      <c r="W32" s="166"/>
      <c r="X32" s="84"/>
      <c r="Y32" s="179">
        <f>IF(R32&lt;Year1,,IF(R32&lt;IF(AND(MONTH($N$14)&gt;=10,MONTH($N$14)&lt;=12),YEAR($N$14)+1,YEAR($N$14)),,IF(R32&gt;1,[1]Calculations!$W32/VLOOKUP(R32,Annual_Inputs,3,FALSE),)))</f>
        <v>0</v>
      </c>
      <c r="Z32" s="175">
        <f>IF(S32&lt;Year1,,IF(S32&lt;IF(AND(MONTH($N$14)&gt;=10,MONTH($N$14)&lt;=12),YEAR($N$14)+1,YEAR($N$14)),,IF(S32&gt;1,[1]Calculations!$W32/VLOOKUP(S32,Annual_Inputs,3,FALSE)/$Y$21*Z$21,0)))</f>
        <v>0</v>
      </c>
      <c r="AA32" s="175">
        <f>IF(T32&lt;Year1,,IF(T32&lt;IF(AND(MONTH($N$14)&gt;=10,MONTH($N$14)&lt;=12),YEAR($N$14)+1,YEAR($N$14)),,IF(T32&gt;1,[1]Calculations!$W32/VLOOKUP(T32,Annual_Inputs,3,FALSE)/$Y$21*AA$21,0)))</f>
        <v>0</v>
      </c>
      <c r="AB32" s="175">
        <f>IF(U32&lt;Year1,,IF(U32&lt;IF(AND(MONTH($N$14)&gt;=10,MONTH($N$14)&lt;=12),YEAR($N$14)+1,YEAR($N$14)),,IF(U32&gt;1,[1]Calculations!$W32/VLOOKUP(U32,Annual_Inputs,3,FALSE)/$Y$21*AB$21,0)))</f>
        <v>0</v>
      </c>
      <c r="AC32" s="175">
        <f>IF(V32&lt;Year1,,IF(V32&lt;IF(AND(MONTH($N$14)&gt;=10,MONTH($N$14)&lt;=12),YEAR($N$14)+1,YEAR($N$14)),,IF(V32&gt;1,[1]Calculations!$W32/VLOOKUP(V32,Annual_Inputs,3,FALSE)/$Y$21*AC$21,0)))</f>
        <v>0</v>
      </c>
      <c r="AD32" s="176">
        <f>IF(W32&lt;Year1,,IF(W32&lt;IF(AND(MONTH($N$14)&gt;=10,MONTH($N$14)&lt;=12),YEAR($N$14)+1,YEAR($N$14)),,IF(W32&gt;1,[1]Calculations!$W32/VLOOKUP(W32,Annual_Inputs,3,FALSE)/$Y$21*AD$21,0)))</f>
        <v>0</v>
      </c>
      <c r="AE32" s="170">
        <f t="shared" si="7"/>
        <v>0</v>
      </c>
      <c r="AF32" s="177"/>
      <c r="AG32" s="145">
        <f t="shared" si="5"/>
        <v>0</v>
      </c>
      <c r="AH32" s="83"/>
      <c r="AI32" s="153"/>
      <c r="AJ32" s="173">
        <f>IF($F28="",0,SUMIF(R$23:R$88,$F28,[1]Calculations!$W$23:$W$88))</f>
        <v>0</v>
      </c>
      <c r="AK32" s="173">
        <f>IF($F28="",0,SUMIF(S$23:S$88,$F28,[1]Calculations!$W$23:$W$88))</f>
        <v>0</v>
      </c>
      <c r="AL32" s="173">
        <f>IF($F28="",0,SUMIF(T$23:T$88,$F28,[1]Calculations!$W$23:$W$88))</f>
        <v>0</v>
      </c>
      <c r="AM32" s="173">
        <f>IF($F28="",0,SUMIF(U$23:U$88,$F28,[1]Calculations!$W$23:$W$88))</f>
        <v>0</v>
      </c>
      <c r="AN32" s="173">
        <f>IF($F28="",0,SUMIF(V$23:V$88,$F28,[1]Calculations!$W$23:$W$88))</f>
        <v>0</v>
      </c>
      <c r="AO32" s="173">
        <f>IF($F28="",0,SUMIF(W$23:W$88,$F28,[1]Calculations!$W$23:$W$88))</f>
        <v>0</v>
      </c>
    </row>
    <row r="33" spans="1:49" ht="12.75" customHeight="1" x14ac:dyDescent="0.25">
      <c r="A33" s="84"/>
      <c r="B33" s="137">
        <f t="shared" si="0"/>
        <v>0</v>
      </c>
      <c r="C33" s="137">
        <f t="shared" si="8"/>
        <v>-9.3895833333333485</v>
      </c>
      <c r="D33" s="138">
        <f t="shared" si="1"/>
        <v>47757</v>
      </c>
      <c r="E33" s="139">
        <v>15</v>
      </c>
      <c r="F33" s="365">
        <f t="shared" ref="F33:F38" si="10">IF(ISNUMBER(F32),(F32+1),"")</f>
        <v>2031</v>
      </c>
      <c r="G33" s="366"/>
      <c r="H33" s="140"/>
      <c r="I33" s="141"/>
      <c r="J33" s="142"/>
      <c r="K33" s="143">
        <f t="shared" si="3"/>
        <v>0</v>
      </c>
      <c r="L33" s="146" t="str">
        <f t="shared" si="4"/>
        <v/>
      </c>
      <c r="M33" s="88"/>
      <c r="N33" s="163"/>
      <c r="O33" s="164" t="str">
        <f>IF([1]Calculations!T33=1,"",[1]Calculations!T33)</f>
        <v/>
      </c>
      <c r="P33" s="164" t="str">
        <f>[1]Calculations!S33</f>
        <v/>
      </c>
      <c r="Q33" s="165" t="str">
        <f t="shared" si="9"/>
        <v/>
      </c>
      <c r="R33" s="166"/>
      <c r="S33" s="166"/>
      <c r="T33" s="166"/>
      <c r="U33" s="166"/>
      <c r="V33" s="166"/>
      <c r="W33" s="166"/>
      <c r="X33" s="84"/>
      <c r="Y33" s="179">
        <f>IF(R33&lt;Year1,,IF(R33&lt;IF(AND(MONTH($N$14)&gt;=10,MONTH($N$14)&lt;=12),YEAR($N$14)+1,YEAR($N$14)),,IF(R33&gt;1,[1]Calculations!$W33/VLOOKUP(R33,Annual_Inputs,3,FALSE),)))</f>
        <v>0</v>
      </c>
      <c r="Z33" s="175">
        <f>IF(S33&lt;Year1,,IF(S33&lt;IF(AND(MONTH($N$14)&gt;=10,MONTH($N$14)&lt;=12),YEAR($N$14)+1,YEAR($N$14)),,IF(S33&gt;1,[1]Calculations!$W33/VLOOKUP(S33,Annual_Inputs,3,FALSE)/$Y$21*Z$21,0)))</f>
        <v>0</v>
      </c>
      <c r="AA33" s="175">
        <f>IF(T33&lt;Year1,,IF(T33&lt;IF(AND(MONTH($N$14)&gt;=10,MONTH($N$14)&lt;=12),YEAR($N$14)+1,YEAR($N$14)),,IF(T33&gt;1,[1]Calculations!$W33/VLOOKUP(T33,Annual_Inputs,3,FALSE)/$Y$21*AA$21,0)))</f>
        <v>0</v>
      </c>
      <c r="AB33" s="175">
        <f>IF(U33&lt;Year1,,IF(U33&lt;IF(AND(MONTH($N$14)&gt;=10,MONTH($N$14)&lt;=12),YEAR($N$14)+1,YEAR($N$14)),,IF(U33&gt;1,[1]Calculations!$W33/VLOOKUP(U33,Annual_Inputs,3,FALSE)/$Y$21*AB$21,0)))</f>
        <v>0</v>
      </c>
      <c r="AC33" s="175">
        <f>IF(V33&lt;Year1,,IF(V33&lt;IF(AND(MONTH($N$14)&gt;=10,MONTH($N$14)&lt;=12),YEAR($N$14)+1,YEAR($N$14)),,IF(V33&gt;1,[1]Calculations!$W33/VLOOKUP(V33,Annual_Inputs,3,FALSE)/$Y$21*AC$21,0)))</f>
        <v>0</v>
      </c>
      <c r="AD33" s="176">
        <f>IF(W33&lt;Year1,,IF(W33&lt;IF(AND(MONTH($N$14)&gt;=10,MONTH($N$14)&lt;=12),YEAR($N$14)+1,YEAR($N$14)),,IF(W33&gt;1,[1]Calculations!$W33/VLOOKUP(W33,Annual_Inputs,3,FALSE)/$Y$21*AD$21,0)))</f>
        <v>0</v>
      </c>
      <c r="AE33" s="170">
        <f t="shared" si="7"/>
        <v>0</v>
      </c>
      <c r="AF33" s="177"/>
      <c r="AG33" s="145">
        <f t="shared" si="5"/>
        <v>0</v>
      </c>
      <c r="AH33" s="83"/>
      <c r="AI33" s="153"/>
      <c r="AJ33" s="173">
        <f>IF($F29="",0,SUMIF(R$23:R$88,$F29,[1]Calculations!$W$23:$W$88))</f>
        <v>0</v>
      </c>
      <c r="AK33" s="173">
        <f>IF($F29="",0,SUMIF(S$23:S$88,$F29,[1]Calculations!$W$23:$W$88))</f>
        <v>0</v>
      </c>
      <c r="AL33" s="173">
        <f>IF($F29="",0,SUMIF(T$23:T$88,$F29,[1]Calculations!$W$23:$W$88))</f>
        <v>0</v>
      </c>
      <c r="AM33" s="173">
        <f>IF($F29="",0,SUMIF(U$23:U$88,$F29,[1]Calculations!$W$23:$W$88))</f>
        <v>0</v>
      </c>
      <c r="AN33" s="173">
        <f>IF($F29="",0,SUMIF(V$23:V$88,$F29,[1]Calculations!$W$23:$W$88))</f>
        <v>0</v>
      </c>
      <c r="AO33" s="173">
        <f>IF($F29="",0,SUMIF(W$23:W$88,$F29,[1]Calculations!$W$23:$W$88))</f>
        <v>0</v>
      </c>
    </row>
    <row r="34" spans="1:49" ht="12.75" customHeight="1" x14ac:dyDescent="0.25">
      <c r="A34" s="84"/>
      <c r="B34" s="137">
        <f t="shared" si="0"/>
        <v>0</v>
      </c>
      <c r="C34" s="137">
        <f t="shared" si="8"/>
        <v>-9.3895833333333485</v>
      </c>
      <c r="D34" s="138">
        <f t="shared" si="1"/>
        <v>48122</v>
      </c>
      <c r="E34" s="139">
        <v>16</v>
      </c>
      <c r="F34" s="365">
        <f t="shared" si="10"/>
        <v>2032</v>
      </c>
      <c r="G34" s="366"/>
      <c r="H34" s="140"/>
      <c r="I34" s="141"/>
      <c r="J34" s="142"/>
      <c r="K34" s="143">
        <f t="shared" si="3"/>
        <v>0</v>
      </c>
      <c r="L34" s="146" t="str">
        <f t="shared" si="4"/>
        <v/>
      </c>
      <c r="M34" s="88"/>
      <c r="N34" s="163"/>
      <c r="O34" s="164" t="str">
        <f>IF([1]Calculations!T34=1,"",[1]Calculations!T34)</f>
        <v/>
      </c>
      <c r="P34" s="164" t="str">
        <f>[1]Calculations!S34</f>
        <v/>
      </c>
      <c r="Q34" s="165" t="str">
        <f t="shared" si="9"/>
        <v/>
      </c>
      <c r="R34" s="166"/>
      <c r="S34" s="166"/>
      <c r="T34" s="166"/>
      <c r="U34" s="166"/>
      <c r="V34" s="166"/>
      <c r="W34" s="166"/>
      <c r="X34" s="84"/>
      <c r="Y34" s="179">
        <f>IF(R34&lt;Year1,,IF(R34&lt;IF(AND(MONTH($N$14)&gt;=10,MONTH($N$14)&lt;=12),YEAR($N$14)+1,YEAR($N$14)),,IF(R34&gt;1,[1]Calculations!$W34/VLOOKUP(R34,Annual_Inputs,3,FALSE),)))</f>
        <v>0</v>
      </c>
      <c r="Z34" s="175">
        <f>IF(S34&lt;Year1,,IF(S34&lt;IF(AND(MONTH($N$14)&gt;=10,MONTH($N$14)&lt;=12),YEAR($N$14)+1,YEAR($N$14)),,IF(S34&gt;1,[1]Calculations!$W34/VLOOKUP(S34,Annual_Inputs,3,FALSE)/$Y$21*Z$21,0)))</f>
        <v>0</v>
      </c>
      <c r="AA34" s="175">
        <f>IF(T34&lt;Year1,,IF(T34&lt;IF(AND(MONTH($N$14)&gt;=10,MONTH($N$14)&lt;=12),YEAR($N$14)+1,YEAR($N$14)),,IF(T34&gt;1,[1]Calculations!$W34/VLOOKUP(T34,Annual_Inputs,3,FALSE)/$Y$21*AA$21,0)))</f>
        <v>0</v>
      </c>
      <c r="AB34" s="175">
        <f>IF(U34&lt;Year1,,IF(U34&lt;IF(AND(MONTH($N$14)&gt;=10,MONTH($N$14)&lt;=12),YEAR($N$14)+1,YEAR($N$14)),,IF(U34&gt;1,[1]Calculations!$W34/VLOOKUP(U34,Annual_Inputs,3,FALSE)/$Y$21*AB$21,0)))</f>
        <v>0</v>
      </c>
      <c r="AC34" s="175">
        <f>IF(V34&lt;Year1,,IF(V34&lt;IF(AND(MONTH($N$14)&gt;=10,MONTH($N$14)&lt;=12),YEAR($N$14)+1,YEAR($N$14)),,IF(V34&gt;1,[1]Calculations!$W34/VLOOKUP(V34,Annual_Inputs,3,FALSE)/$Y$21*AC$21,0)))</f>
        <v>0</v>
      </c>
      <c r="AD34" s="176">
        <f>IF(W34&lt;Year1,,IF(W34&lt;IF(AND(MONTH($N$14)&gt;=10,MONTH($N$14)&lt;=12),YEAR($N$14)+1,YEAR($N$14)),,IF(W34&gt;1,[1]Calculations!$W34/VLOOKUP(W34,Annual_Inputs,3,FALSE)/$Y$21*AD$21,0)))</f>
        <v>0</v>
      </c>
      <c r="AE34" s="170">
        <f t="shared" si="7"/>
        <v>0</v>
      </c>
      <c r="AF34" s="177"/>
      <c r="AG34" s="145">
        <f t="shared" si="5"/>
        <v>0</v>
      </c>
      <c r="AH34" s="83"/>
      <c r="AI34" s="153"/>
      <c r="AJ34" s="173">
        <f>IF($F30="",0,SUMIF(R$23:R$88,$F30,[1]Calculations!$W$23:$W$88))</f>
        <v>0</v>
      </c>
      <c r="AK34" s="173">
        <f>IF($F30="",0,SUMIF(S$23:S$88,$F30,[1]Calculations!$W$23:$W$88))</f>
        <v>0</v>
      </c>
      <c r="AL34" s="173">
        <f>IF($F30="",0,SUMIF(T$23:T$88,$F30,[1]Calculations!$W$23:$W$88))</f>
        <v>0</v>
      </c>
      <c r="AM34" s="173">
        <f>IF($F30="",0,SUMIF(U$23:U$88,$F30,[1]Calculations!$W$23:$W$88))</f>
        <v>0</v>
      </c>
      <c r="AN34" s="173">
        <f>IF($F30="",0,SUMIF(V$23:V$88,$F30,[1]Calculations!$W$23:$W$88))</f>
        <v>0</v>
      </c>
      <c r="AO34" s="173">
        <f>IF($F30="",0,SUMIF(W$23:W$88,$F30,[1]Calculations!$W$23:$W$88))</f>
        <v>0</v>
      </c>
    </row>
    <row r="35" spans="1:49" ht="12.75" customHeight="1" x14ac:dyDescent="0.25">
      <c r="A35" s="84"/>
      <c r="B35" s="137">
        <f t="shared" si="0"/>
        <v>0</v>
      </c>
      <c r="C35" s="137">
        <f t="shared" si="8"/>
        <v>-9.3895833333333485</v>
      </c>
      <c r="D35" s="138">
        <f t="shared" si="1"/>
        <v>48488</v>
      </c>
      <c r="E35" s="139">
        <v>17</v>
      </c>
      <c r="F35" s="365">
        <f t="shared" si="10"/>
        <v>2033</v>
      </c>
      <c r="G35" s="366"/>
      <c r="H35" s="140"/>
      <c r="I35" s="141"/>
      <c r="J35" s="142"/>
      <c r="K35" s="143">
        <f t="shared" si="3"/>
        <v>0</v>
      </c>
      <c r="L35" s="146" t="str">
        <f t="shared" si="4"/>
        <v/>
      </c>
      <c r="M35" s="88"/>
      <c r="N35" s="163"/>
      <c r="O35" s="164" t="str">
        <f>IF([1]Calculations!T35=1,"",[1]Calculations!T35)</f>
        <v/>
      </c>
      <c r="P35" s="164" t="str">
        <f>[1]Calculations!S35</f>
        <v/>
      </c>
      <c r="Q35" s="165" t="str">
        <f t="shared" si="9"/>
        <v/>
      </c>
      <c r="R35" s="166"/>
      <c r="S35" s="166"/>
      <c r="T35" s="166"/>
      <c r="U35" s="166"/>
      <c r="V35" s="166"/>
      <c r="W35" s="166"/>
      <c r="X35" s="84"/>
      <c r="Y35" s="179">
        <f>IF(R35&lt;Year1,,IF(R35&lt;IF(AND(MONTH($N$14)&gt;=10,MONTH($N$14)&lt;=12),YEAR($N$14)+1,YEAR($N$14)),,IF(R35&gt;1,[1]Calculations!$W35/VLOOKUP(R35,Annual_Inputs,3,FALSE),)))</f>
        <v>0</v>
      </c>
      <c r="Z35" s="175">
        <f>IF(S35&lt;Year1,,IF(S35&lt;IF(AND(MONTH($N$14)&gt;=10,MONTH($N$14)&lt;=12),YEAR($N$14)+1,YEAR($N$14)),,IF(S35&gt;1,[1]Calculations!$W35/VLOOKUP(S35,Annual_Inputs,3,FALSE)/$Y$21*Z$21,0)))</f>
        <v>0</v>
      </c>
      <c r="AA35" s="175">
        <f>IF(T35&lt;Year1,,IF(T35&lt;IF(AND(MONTH($N$14)&gt;=10,MONTH($N$14)&lt;=12),YEAR($N$14)+1,YEAR($N$14)),,IF(T35&gt;1,[1]Calculations!$W35/VLOOKUP(T35,Annual_Inputs,3,FALSE)/$Y$21*AA$21,0)))</f>
        <v>0</v>
      </c>
      <c r="AB35" s="175">
        <f>IF(U35&lt;Year1,,IF(U35&lt;IF(AND(MONTH($N$14)&gt;=10,MONTH($N$14)&lt;=12),YEAR($N$14)+1,YEAR($N$14)),,IF(U35&gt;1,[1]Calculations!$W35/VLOOKUP(U35,Annual_Inputs,3,FALSE)/$Y$21*AB$21,0)))</f>
        <v>0</v>
      </c>
      <c r="AC35" s="175">
        <f>IF(V35&lt;Year1,,IF(V35&lt;IF(AND(MONTH($N$14)&gt;=10,MONTH($N$14)&lt;=12),YEAR($N$14)+1,YEAR($N$14)),,IF(V35&gt;1,[1]Calculations!$W35/VLOOKUP(V35,Annual_Inputs,3,FALSE)/$Y$21*AC$21,0)))</f>
        <v>0</v>
      </c>
      <c r="AD35" s="176">
        <f>IF(W35&lt;Year1,,IF(W35&lt;IF(AND(MONTH($N$14)&gt;=10,MONTH($N$14)&lt;=12),YEAR($N$14)+1,YEAR($N$14)),,IF(W35&gt;1,[1]Calculations!$W35/VLOOKUP(W35,Annual_Inputs,3,FALSE)/$Y$21*AD$21,0)))</f>
        <v>0</v>
      </c>
      <c r="AE35" s="170">
        <f t="shared" si="7"/>
        <v>0</v>
      </c>
      <c r="AF35" s="177"/>
      <c r="AG35" s="145">
        <f t="shared" si="5"/>
        <v>0</v>
      </c>
      <c r="AH35" s="83"/>
      <c r="AI35" s="153"/>
      <c r="AJ35" s="173">
        <f>IF($F31="",0,SUMIF(R$23:R$88,$F31,[1]Calculations!$W$23:$W$88))</f>
        <v>0</v>
      </c>
      <c r="AK35" s="173">
        <f>IF($F31="",0,SUMIF(S$23:S$88,$F31,[1]Calculations!$W$23:$W$88))</f>
        <v>0</v>
      </c>
      <c r="AL35" s="173">
        <f>IF($F31="",0,SUMIF(T$23:T$88,$F31,[1]Calculations!$W$23:$W$88))</f>
        <v>0</v>
      </c>
      <c r="AM35" s="173">
        <f>IF($F31="",0,SUMIF(U$23:U$88,$F31,[1]Calculations!$W$23:$W$88))</f>
        <v>0</v>
      </c>
      <c r="AN35" s="173">
        <f>IF($F31="",0,SUMIF(V$23:V$88,$F31,[1]Calculations!$W$23:$W$88))</f>
        <v>0</v>
      </c>
      <c r="AO35" s="173">
        <f>IF($F31="",0,SUMIF(W$23:W$88,$F31,[1]Calculations!$W$23:$W$88))</f>
        <v>0</v>
      </c>
    </row>
    <row r="36" spans="1:49" ht="12.75" customHeight="1" x14ac:dyDescent="0.25">
      <c r="A36" s="84"/>
      <c r="B36" s="137">
        <f t="shared" si="0"/>
        <v>0</v>
      </c>
      <c r="C36" s="137">
        <f t="shared" si="8"/>
        <v>-9.3895833333333485</v>
      </c>
      <c r="D36" s="138">
        <f t="shared" si="1"/>
        <v>48853</v>
      </c>
      <c r="E36" s="139">
        <v>18</v>
      </c>
      <c r="F36" s="365">
        <f t="shared" si="10"/>
        <v>2034</v>
      </c>
      <c r="G36" s="366"/>
      <c r="H36" s="140"/>
      <c r="I36" s="141"/>
      <c r="J36" s="142"/>
      <c r="K36" s="143">
        <f t="shared" si="3"/>
        <v>0</v>
      </c>
      <c r="L36" s="146" t="str">
        <f t="shared" si="4"/>
        <v/>
      </c>
      <c r="M36" s="183"/>
      <c r="N36" s="163"/>
      <c r="O36" s="164" t="str">
        <f>IF([1]Calculations!T36=1,"",[1]Calculations!T36)</f>
        <v/>
      </c>
      <c r="P36" s="164" t="str">
        <f>[1]Calculations!S36</f>
        <v/>
      </c>
      <c r="Q36" s="165" t="str">
        <f t="shared" si="9"/>
        <v/>
      </c>
      <c r="R36" s="166"/>
      <c r="S36" s="166"/>
      <c r="T36" s="166"/>
      <c r="U36" s="166"/>
      <c r="V36" s="166"/>
      <c r="W36" s="166"/>
      <c r="X36" s="84"/>
      <c r="Y36" s="167">
        <f>IF(R36&lt;Year1,,IF(R36&lt;IF(AND(MONTH($N$14)&gt;=10,MONTH($N$14)&lt;=12),YEAR($N$14)+1,YEAR($N$14)),,IF(R36&gt;1,[1]Calculations!$W36/VLOOKUP(R36,Annual_Inputs,3,FALSE),)))</f>
        <v>0</v>
      </c>
      <c r="Z36" s="168">
        <f>IF(S36&lt;Year1,,IF(S36&lt;IF(AND(MONTH($N$14)&gt;=10,MONTH($N$14)&lt;=12),YEAR($N$14)+1,YEAR($N$14)),,IF(S36&gt;1,[1]Calculations!$W36/VLOOKUP(S36,Annual_Inputs,3,FALSE)/$Y$21*Z$21,0)))</f>
        <v>0</v>
      </c>
      <c r="AA36" s="168">
        <f>IF(T36&lt;Year1,,IF(T36&lt;IF(AND(MONTH($N$14)&gt;=10,MONTH($N$14)&lt;=12),YEAR($N$14)+1,YEAR($N$14)),,IF(T36&gt;1,[1]Calculations!$W36/VLOOKUP(T36,Annual_Inputs,3,FALSE)/$Y$21*AA$21,0)))</f>
        <v>0</v>
      </c>
      <c r="AB36" s="168">
        <f>IF(U36&lt;Year1,,IF(U36&lt;IF(AND(MONTH($N$14)&gt;=10,MONTH($N$14)&lt;=12),YEAR($N$14)+1,YEAR($N$14)),,IF(U36&gt;1,[1]Calculations!$W36/VLOOKUP(U36,Annual_Inputs,3,FALSE)/$Y$21*AB$21,0)))</f>
        <v>0</v>
      </c>
      <c r="AC36" s="168">
        <f>IF(V36&lt;Year1,,IF(V36&lt;IF(AND(MONTH($N$14)&gt;=10,MONTH($N$14)&lt;=12),YEAR($N$14)+1,YEAR($N$14)),,IF(V36&gt;1,[1]Calculations!$W36/VLOOKUP(V36,Annual_Inputs,3,FALSE)/$Y$21*AC$21,0)))</f>
        <v>0</v>
      </c>
      <c r="AD36" s="169">
        <f>IF(W36&lt;Year1,,IF(W36&lt;IF(AND(MONTH($N$14)&gt;=10,MONTH($N$14)&lt;=12),YEAR($N$14)+1,YEAR($N$14)),,IF(W36&gt;1,[1]Calculations!$W36/VLOOKUP(W36,Annual_Inputs,3,FALSE)/$Y$21*AD$21,0)))</f>
        <v>0</v>
      </c>
      <c r="AE36" s="170">
        <f t="shared" si="7"/>
        <v>0</v>
      </c>
      <c r="AF36" s="177"/>
      <c r="AG36" s="145">
        <f t="shared" si="5"/>
        <v>0</v>
      </c>
      <c r="AH36" s="83"/>
      <c r="AI36" s="153"/>
      <c r="AJ36" s="173">
        <f>IF($F32="",0,SUMIF(R$23:R$88,$F32,[1]Calculations!$W$23:$W$88))</f>
        <v>0</v>
      </c>
      <c r="AK36" s="173">
        <f>IF($F32="",0,SUMIF(S$23:S$88,$F32,[1]Calculations!$W$23:$W$88))</f>
        <v>0</v>
      </c>
      <c r="AL36" s="173">
        <f>IF($F32="",0,SUMIF(T$23:T$88,$F32,[1]Calculations!$W$23:$W$88))</f>
        <v>0</v>
      </c>
      <c r="AM36" s="173">
        <f>IF($F32="",0,SUMIF(U$23:U$88,$F32,[1]Calculations!$W$23:$W$88))</f>
        <v>0</v>
      </c>
      <c r="AN36" s="173">
        <f>IF($F32="",0,SUMIF(V$23:V$88,$F32,[1]Calculations!$W$23:$W$88))</f>
        <v>0</v>
      </c>
      <c r="AO36" s="173">
        <f>IF($F32="",0,SUMIF(W$23:W$88,$F32,[1]Calculations!$W$23:$W$88))</f>
        <v>0</v>
      </c>
    </row>
    <row r="37" spans="1:49" ht="12.75" customHeight="1" x14ac:dyDescent="0.25">
      <c r="A37" s="84"/>
      <c r="B37" s="137">
        <f t="shared" si="0"/>
        <v>0</v>
      </c>
      <c r="C37" s="137">
        <f t="shared" si="8"/>
        <v>-9.3895833333333485</v>
      </c>
      <c r="D37" s="138">
        <f t="shared" si="1"/>
        <v>49218</v>
      </c>
      <c r="E37" s="139">
        <v>19</v>
      </c>
      <c r="F37" s="365">
        <f t="shared" si="10"/>
        <v>2035</v>
      </c>
      <c r="G37" s="366"/>
      <c r="H37" s="140"/>
      <c r="I37" s="141"/>
      <c r="J37" s="142"/>
      <c r="K37" s="143">
        <f t="shared" si="3"/>
        <v>0</v>
      </c>
      <c r="L37" s="146" t="str">
        <f t="shared" si="4"/>
        <v/>
      </c>
      <c r="M37" s="88"/>
      <c r="N37" s="163"/>
      <c r="O37" s="164" t="str">
        <f>IF([1]Calculations!T37=1,"",[1]Calculations!T37)</f>
        <v/>
      </c>
      <c r="P37" s="164" t="str">
        <f>[1]Calculations!S37</f>
        <v/>
      </c>
      <c r="Q37" s="165" t="str">
        <f t="shared" si="9"/>
        <v/>
      </c>
      <c r="R37" s="166"/>
      <c r="S37" s="166"/>
      <c r="T37" s="166"/>
      <c r="U37" s="166"/>
      <c r="V37" s="166"/>
      <c r="W37" s="166"/>
      <c r="X37" s="84"/>
      <c r="Y37" s="167">
        <f>IF(R37&lt;Year1,,IF(R37&lt;IF(AND(MONTH($N$14)&gt;=10,MONTH($N$14)&lt;=12),YEAR($N$14)+1,YEAR($N$14)),,IF(R37&gt;1,[1]Calculations!$W37/VLOOKUP(R37,Annual_Inputs,3,FALSE),)))</f>
        <v>0</v>
      </c>
      <c r="Z37" s="168">
        <f>IF(S37&lt;Year1,,IF(S37&lt;IF(AND(MONTH($N$14)&gt;=10,MONTH($N$14)&lt;=12),YEAR($N$14)+1,YEAR($N$14)),,IF(S37&gt;1,[1]Calculations!$W37/VLOOKUP(S37,Annual_Inputs,3,FALSE)/$Y$21*Z$21,0)))</f>
        <v>0</v>
      </c>
      <c r="AA37" s="168">
        <f>IF(T37&lt;Year1,,IF(T37&lt;IF(AND(MONTH($N$14)&gt;=10,MONTH($N$14)&lt;=12),YEAR($N$14)+1,YEAR($N$14)),,IF(T37&gt;1,[1]Calculations!$W37/VLOOKUP(T37,Annual_Inputs,3,FALSE)/$Y$21*AA$21,0)))</f>
        <v>0</v>
      </c>
      <c r="AB37" s="168">
        <f>IF(U37&lt;Year1,,IF(U37&lt;IF(AND(MONTH($N$14)&gt;=10,MONTH($N$14)&lt;=12),YEAR($N$14)+1,YEAR($N$14)),,IF(U37&gt;1,[1]Calculations!$W37/VLOOKUP(U37,Annual_Inputs,3,FALSE)/$Y$21*AB$21,0)))</f>
        <v>0</v>
      </c>
      <c r="AC37" s="168">
        <f>IF(V37&lt;Year1,,IF(V37&lt;IF(AND(MONTH($N$14)&gt;=10,MONTH($N$14)&lt;=12),YEAR($N$14)+1,YEAR($N$14)),,IF(V37&gt;1,[1]Calculations!$W37/VLOOKUP(V37,Annual_Inputs,3,FALSE)/$Y$21*AC$21,0)))</f>
        <v>0</v>
      </c>
      <c r="AD37" s="169">
        <f>IF(W37&lt;Year1,,IF(W37&lt;IF(AND(MONTH($N$14)&gt;=10,MONTH($N$14)&lt;=12),YEAR($N$14)+1,YEAR($N$14)),,IF(W37&gt;1,[1]Calculations!$W37/VLOOKUP(W37,Annual_Inputs,3,FALSE)/$Y$21*AD$21,0)))</f>
        <v>0</v>
      </c>
      <c r="AE37" s="170">
        <f t="shared" si="7"/>
        <v>0</v>
      </c>
      <c r="AF37" s="177"/>
      <c r="AG37" s="145">
        <f t="shared" si="5"/>
        <v>0</v>
      </c>
      <c r="AH37" s="83"/>
      <c r="AI37" s="153"/>
      <c r="AJ37" s="173">
        <f>IF($F33="",0,SUMIF(R$23:R$88,$F33,[1]Calculations!$W$23:$W$88))</f>
        <v>0</v>
      </c>
      <c r="AK37" s="173">
        <f>IF($F33="",0,SUMIF(S$23:S$88,$F33,[1]Calculations!$W$23:$W$88))</f>
        <v>0</v>
      </c>
      <c r="AL37" s="173">
        <f>IF($F33="",0,SUMIF(T$23:T$88,$F33,[1]Calculations!$W$23:$W$88))</f>
        <v>0</v>
      </c>
      <c r="AM37" s="173">
        <f>IF($F33="",0,SUMIF(U$23:U$88,$F33,[1]Calculations!$W$23:$W$88))</f>
        <v>0</v>
      </c>
      <c r="AN37" s="173">
        <f>IF($F33="",0,SUMIF(V$23:V$88,$F33,[1]Calculations!$W$23:$W$88))</f>
        <v>0</v>
      </c>
      <c r="AO37" s="173">
        <f>IF($F33="",0,SUMIF(W$23:W$88,$F33,[1]Calculations!$W$23:$W$88))</f>
        <v>0</v>
      </c>
    </row>
    <row r="38" spans="1:49" ht="12.75" customHeight="1" thickBot="1" x14ac:dyDescent="0.3">
      <c r="A38" s="84"/>
      <c r="B38" s="137">
        <f t="shared" si="0"/>
        <v>0</v>
      </c>
      <c r="C38" s="137">
        <f t="shared" si="8"/>
        <v>-9.3895833333333485</v>
      </c>
      <c r="D38" s="138">
        <f t="shared" si="1"/>
        <v>49583</v>
      </c>
      <c r="E38" s="184">
        <v>20</v>
      </c>
      <c r="F38" s="367">
        <f t="shared" si="10"/>
        <v>2036</v>
      </c>
      <c r="G38" s="368"/>
      <c r="H38" s="140"/>
      <c r="I38" s="141"/>
      <c r="J38" s="142"/>
      <c r="K38" s="143">
        <f t="shared" si="3"/>
        <v>0</v>
      </c>
      <c r="L38" s="185" t="str">
        <f t="shared" si="4"/>
        <v/>
      </c>
      <c r="M38" s="88"/>
      <c r="N38" s="186" t="str">
        <f>[1]Calculations!R38</f>
        <v>Matthew</v>
      </c>
      <c r="O38" s="164">
        <f>IF([1]Calculations!T38=1,"",[1]Calculations!T38)</f>
        <v>3</v>
      </c>
      <c r="P38" s="164">
        <f>[1]Calculations!S38</f>
        <v>1071</v>
      </c>
      <c r="Q38" s="165"/>
      <c r="R38" s="166"/>
      <c r="S38" s="166"/>
      <c r="T38" s="166"/>
      <c r="U38" s="166"/>
      <c r="V38" s="166"/>
      <c r="W38" s="166"/>
      <c r="X38" s="84"/>
      <c r="Y38" s="179">
        <f>IF(R38&lt;Year1,,IF(R38&lt;IF(AND(MONTH($N$14)&gt;=10,MONTH($N$14)&lt;=12),YEAR($N$14)+1,YEAR($N$14)),,IF(R38&gt;1,[1]Calculations!$W38/VLOOKUP(R38,Annual_Inputs,3,FALSE),)))</f>
        <v>0</v>
      </c>
      <c r="Z38" s="168">
        <f>IF(S38&lt;Year1,,IF(S38&lt;IF(AND(MONTH($N$14)&gt;=10,MONTH($N$14)&lt;=12),YEAR($N$14)+1,YEAR($N$14)),,IF(S38&gt;1,[1]Calculations!$W38/VLOOKUP(S38,Annual_Inputs,3,FALSE)/$Y$21*Z$21,0)))</f>
        <v>0</v>
      </c>
      <c r="AA38" s="168">
        <f>IF(T38&lt;Year1,,IF(T38&lt;IF(AND(MONTH($N$14)&gt;=10,MONTH($N$14)&lt;=12),YEAR($N$14)+1,YEAR($N$14)),,IF(T38&gt;1,[1]Calculations!$W38/VLOOKUP(T38,Annual_Inputs,3,FALSE)/$Y$21*AA$21,0)))</f>
        <v>0</v>
      </c>
      <c r="AB38" s="168">
        <f>IF(U38&lt;Year1,,IF(U38&lt;IF(AND(MONTH($N$14)&gt;=10,MONTH($N$14)&lt;=12),YEAR($N$14)+1,YEAR($N$14)),,IF(U38&gt;1,[1]Calculations!$W38/VLOOKUP(U38,Annual_Inputs,3,FALSE)/$Y$21*AB$21,0)))</f>
        <v>0</v>
      </c>
      <c r="AC38" s="168">
        <f>IF(V38&lt;Year1,,IF(V38&lt;IF(AND(MONTH($N$14)&gt;=10,MONTH($N$14)&lt;=12),YEAR($N$14)+1,YEAR($N$14)),,IF(V38&gt;1,[1]Calculations!$W38/VLOOKUP(V38,Annual_Inputs,3,FALSE)/$Y$21*AC$21,0)))</f>
        <v>0</v>
      </c>
      <c r="AD38" s="169">
        <f>IF(W38&lt;Year1,,IF(W38&lt;IF(AND(MONTH($N$14)&gt;=10,MONTH($N$14)&lt;=12),YEAR($N$14)+1,YEAR($N$14)),,IF(W38&gt;1,[1]Calculations!$W38/VLOOKUP(W38,Annual_Inputs,3,FALSE)/$Y$21*AD$21,0)))</f>
        <v>0</v>
      </c>
      <c r="AE38" s="170">
        <f t="shared" si="7"/>
        <v>0</v>
      </c>
      <c r="AF38" s="177"/>
      <c r="AG38" s="145">
        <f t="shared" si="5"/>
        <v>0</v>
      </c>
      <c r="AH38" s="83"/>
      <c r="AI38" s="153"/>
      <c r="AJ38" s="173">
        <f>IF($F34="",0,SUMIF(R$23:R$88,$F34,[1]Calculations!$W$23:$W$88))</f>
        <v>0</v>
      </c>
      <c r="AK38" s="173">
        <f>IF($F34="",0,SUMIF(S$23:S$88,$F34,[1]Calculations!$W$23:$W$88))</f>
        <v>0</v>
      </c>
      <c r="AL38" s="173">
        <f>IF($F34="",0,SUMIF(T$23:T$88,$F34,[1]Calculations!$W$23:$W$88))</f>
        <v>0</v>
      </c>
      <c r="AM38" s="173">
        <f>IF($F34="",0,SUMIF(U$23:U$88,$F34,[1]Calculations!$W$23:$W$88))</f>
        <v>0</v>
      </c>
      <c r="AN38" s="173">
        <f>IF($F34="",0,SUMIF(V$23:V$88,$F34,[1]Calculations!$W$23:$W$88))</f>
        <v>0</v>
      </c>
      <c r="AO38" s="173">
        <f>IF($F34="",0,SUMIF(W$23:W$88,$F34,[1]Calculations!$W$23:$W$88))</f>
        <v>0</v>
      </c>
    </row>
    <row r="39" spans="1:49" ht="12.75" customHeight="1" x14ac:dyDescent="0.25">
      <c r="A39" s="84"/>
      <c r="B39" s="88"/>
      <c r="C39" s="90"/>
      <c r="D39" s="90"/>
      <c r="E39" s="369" t="s">
        <v>177</v>
      </c>
      <c r="F39" s="370"/>
      <c r="G39" s="370" t="s">
        <v>177</v>
      </c>
      <c r="H39" s="371"/>
      <c r="I39" s="371"/>
      <c r="J39" s="371"/>
      <c r="K39" s="187">
        <f>IF(AE114=0,"",IF(ISERROR(AE114),"",AE114))</f>
        <v>2.9</v>
      </c>
      <c r="L39" s="188">
        <f>IF(ISNUMBER(L19),SUM(L18:L38),"")</f>
        <v>3824.8749999999995</v>
      </c>
      <c r="M39" s="83"/>
      <c r="N39" s="186" t="str">
        <f>[1]Calculations!R39</f>
        <v>Mark</v>
      </c>
      <c r="O39" s="164">
        <f>IF([1]Calculations!T39=1,"",[1]Calculations!T39)</f>
        <v>3</v>
      </c>
      <c r="P39" s="164">
        <f>[1]Calculations!S39</f>
        <v>678</v>
      </c>
      <c r="Q39" s="165">
        <f t="shared" si="9"/>
        <v>678</v>
      </c>
      <c r="R39" s="166">
        <v>2016</v>
      </c>
      <c r="S39" s="166">
        <v>2016</v>
      </c>
      <c r="T39" s="166">
        <v>2016</v>
      </c>
      <c r="U39" s="166">
        <v>2016</v>
      </c>
      <c r="V39" s="166">
        <v>2016</v>
      </c>
      <c r="W39" s="166">
        <v>2017</v>
      </c>
      <c r="X39" s="84"/>
      <c r="Y39" s="179">
        <f>IF(R39&lt;Year1,,IF(R39&lt;IF(AND(MONTH($N$14)&gt;=10,MONTH($N$14)&lt;=12),YEAR($N$14)+1,YEAR($N$14)),,IF(R39&gt;1,[1]Calculations!$W39/VLOOKUP(R39,Annual_Inputs,3,FALSE),)))</f>
        <v>0</v>
      </c>
      <c r="Z39" s="168">
        <f>IF(S39&lt;Year1,,IF(S39&lt;IF(AND(MONTH($N$14)&gt;=10,MONTH($N$14)&lt;=12),YEAR($N$14)+1,YEAR($N$14)),,IF(S39&gt;1,[1]Calculations!$W39/VLOOKUP(S39,Annual_Inputs,3,FALSE)/$Y$21*Z$21,0)))</f>
        <v>0</v>
      </c>
      <c r="AA39" s="168">
        <f>IF(T39&lt;Year1,,IF(T39&lt;IF(AND(MONTH($N$14)&gt;=10,MONTH($N$14)&lt;=12),YEAR($N$14)+1,YEAR($N$14)),,IF(T39&gt;1,[1]Calculations!$W39/VLOOKUP(T39,Annual_Inputs,3,FALSE)/$Y$21*AA$21,0)))</f>
        <v>0</v>
      </c>
      <c r="AB39" s="168">
        <f>IF(U39&lt;Year1,,IF(U39&lt;IF(AND(MONTH($N$14)&gt;=10,MONTH($N$14)&lt;=12),YEAR($N$14)+1,YEAR($N$14)),,IF(U39&gt;1,[1]Calculations!$W39/VLOOKUP(U39,Annual_Inputs,3,FALSE)/$Y$21*AB$21,0)))</f>
        <v>0</v>
      </c>
      <c r="AC39" s="168">
        <f>IF(V39&lt;Year1,,IF(V39&lt;IF(AND(MONTH($N$14)&gt;=10,MONTH($N$14)&lt;=12),YEAR($N$14)+1,YEAR($N$14)),,IF(V39&gt;1,[1]Calculations!$W39/VLOOKUP(V39,Annual_Inputs,3,FALSE)/$Y$21*AC$21,0)))</f>
        <v>0</v>
      </c>
      <c r="AD39" s="169">
        <f>IF(W39&lt;Year1,,IF(W39&lt;IF(AND(MONTH($N$14)&gt;=10,MONTH($N$14)&lt;=12),YEAR($N$14)+1,YEAR($N$14)),,IF(W39&gt;1,[1]Calculations!$W39/VLOOKUP(W39,Annual_Inputs,3,FALSE)/$Y$21*AD$21,0)))</f>
        <v>11.3</v>
      </c>
      <c r="AE39" s="170">
        <f t="shared" si="7"/>
        <v>11.3</v>
      </c>
      <c r="AF39" s="177"/>
      <c r="AG39" s="83"/>
      <c r="AH39" s="83"/>
      <c r="AI39" s="153"/>
      <c r="AJ39" s="173">
        <f>IF($F35="",0,SUMIF(R$23:R$88,$F35,[1]Calculations!$W$23:$W$88))</f>
        <v>0</v>
      </c>
      <c r="AK39" s="173">
        <f>IF($F35="",0,SUMIF(S$23:S$88,$F35,[1]Calculations!$W$23:$W$88))</f>
        <v>0</v>
      </c>
      <c r="AL39" s="173">
        <f>IF($F35="",0,SUMIF(T$23:T$88,$F35,[1]Calculations!$W$23:$W$88))</f>
        <v>0</v>
      </c>
      <c r="AM39" s="173">
        <f>IF($F35="",0,SUMIF(U$23:U$88,$F35,[1]Calculations!$W$23:$W$88))</f>
        <v>0</v>
      </c>
      <c r="AN39" s="173">
        <f>IF($F35="",0,SUMIF(V$23:V$88,$F35,[1]Calculations!$W$23:$W$88))</f>
        <v>0</v>
      </c>
      <c r="AO39" s="173">
        <f>IF($F35="",0,SUMIF(W$23:W$88,$F35,[1]Calculations!$W$23:$W$88))</f>
        <v>0</v>
      </c>
    </row>
    <row r="40" spans="1:49" ht="12.75" customHeight="1" thickBot="1" x14ac:dyDescent="0.3">
      <c r="A40" s="84"/>
      <c r="B40" s="88" t="s">
        <v>178</v>
      </c>
      <c r="C40" s="90"/>
      <c r="D40" s="90"/>
      <c r="E40" s="372" t="s">
        <v>179</v>
      </c>
      <c r="F40" s="373"/>
      <c r="G40" s="373" t="s">
        <v>180</v>
      </c>
      <c r="H40" s="373"/>
      <c r="I40" s="373"/>
      <c r="J40" s="373"/>
      <c r="K40" s="374">
        <f>IF(OR(ISERROR(AE113),K39=""),"",IF(ISNUMBER(N14),N14+(K39*365.25),W13+(K39*365.25)))</f>
        <v>43703.224999999999</v>
      </c>
      <c r="L40" s="375"/>
      <c r="M40" s="83"/>
      <c r="N40" s="186" t="str">
        <f>[1]Calculations!R40</f>
        <v>Luke</v>
      </c>
      <c r="O40" s="164">
        <f>IF([1]Calculations!T40=1,"",[1]Calculations!T40)</f>
        <v>3</v>
      </c>
      <c r="P40" s="164">
        <f>[1]Calculations!S40</f>
        <v>1151</v>
      </c>
      <c r="Q40" s="165">
        <f t="shared" si="9"/>
        <v>1151</v>
      </c>
      <c r="R40" s="166">
        <v>2017</v>
      </c>
      <c r="S40" s="166">
        <v>2017</v>
      </c>
      <c r="T40" s="166">
        <v>2018</v>
      </c>
      <c r="U40" s="166">
        <v>2018</v>
      </c>
      <c r="V40" s="166">
        <v>2018</v>
      </c>
      <c r="W40" s="166">
        <v>2019</v>
      </c>
      <c r="X40" s="84"/>
      <c r="Y40" s="179">
        <f>IF(R40&lt;Year1,,IF(R40&lt;IF(AND(MONTH($N$14)&gt;=10,MONTH($N$14)&lt;=12),YEAR($N$14)+1,YEAR($N$14)),,IF(R40&gt;1,[1]Calculations!$W40/VLOOKUP(R40,Annual_Inputs,3,FALSE),)))</f>
        <v>76.733333333333334</v>
      </c>
      <c r="Z40" s="168">
        <f>IF(S40&lt;Year1,,IF(S40&lt;IF(AND(MONTH($N$14)&gt;=10,MONTH($N$14)&lt;=12),YEAR($N$14)+1,YEAR($N$14)),,IF(S40&gt;1,[1]Calculations!$W40/VLOOKUP(S40,Annual_Inputs,3,FALSE)/$Y$21*Z$21,0)))</f>
        <v>19.183333333333334</v>
      </c>
      <c r="AA40" s="168">
        <f>IF(T40&lt;Year1,,IF(T40&lt;IF(AND(MONTH($N$14)&gt;=10,MONTH($N$14)&lt;=12),YEAR($N$14)+1,YEAR($N$14)),,IF(T40&gt;1,[1]Calculations!$W40/VLOOKUP(T40,Annual_Inputs,3,FALSE)/$Y$21*AA$21,0)))</f>
        <v>31.972222222222218</v>
      </c>
      <c r="AB40" s="168">
        <f>IF(U40&lt;Year1,,IF(U40&lt;IF(AND(MONTH($N$14)&gt;=10,MONTH($N$14)&lt;=12),YEAR($N$14)+1,YEAR($N$14)),,IF(U40&gt;1,[1]Calculations!$W40/VLOOKUP(U40,Annual_Inputs,3,FALSE)/$Y$21*AB$21,0)))</f>
        <v>15.986111111111109</v>
      </c>
      <c r="AC40" s="168">
        <f>IF(V40&lt;Year1,,IF(V40&lt;IF(AND(MONTH($N$14)&gt;=10,MONTH($N$14)&lt;=12),YEAR($N$14)+1,YEAR($N$14)),,IF(V40&gt;1,[1]Calculations!$W40/VLOOKUP(V40,Annual_Inputs,3,FALSE)/$Y$21*AC$21,0)))</f>
        <v>15.986111111111109</v>
      </c>
      <c r="AD40" s="169">
        <f>IF(W40&lt;Year1,,IF(W40&lt;IF(AND(MONTH($N$14)&gt;=10,MONTH($N$14)&lt;=12),YEAR($N$14)+1,YEAR($N$14)),,IF(W40&gt;1,[1]Calculations!$W40/VLOOKUP(W40,Annual_Inputs,3,FALSE)/$Y$21*AD$21,0)))</f>
        <v>15.986111111111109</v>
      </c>
      <c r="AE40" s="170">
        <f t="shared" si="7"/>
        <v>175.84722222222223</v>
      </c>
      <c r="AF40" s="177"/>
      <c r="AG40" s="83"/>
      <c r="AH40" s="83"/>
      <c r="AI40" s="153"/>
      <c r="AJ40" s="173">
        <f>IF($F36="",0,SUMIF(R$23:R$88,$F36,[1]Calculations!$W$23:$W$88))</f>
        <v>0</v>
      </c>
      <c r="AK40" s="173">
        <f>IF($F36="",0,SUMIF(S$23:S$88,$F36,[1]Calculations!$W$23:$W$88))</f>
        <v>0</v>
      </c>
      <c r="AL40" s="173">
        <f>IF($F36="",0,SUMIF(T$23:T$88,$F36,[1]Calculations!$W$23:$W$88))</f>
        <v>0</v>
      </c>
      <c r="AM40" s="173">
        <f>IF($F36="",0,SUMIF(U$23:U$88,$F36,[1]Calculations!$W$23:$W$88))</f>
        <v>0</v>
      </c>
      <c r="AN40" s="173">
        <f>IF($F36="",0,SUMIF(V$23:V$88,$F36,[1]Calculations!$W$23:$W$88))</f>
        <v>0</v>
      </c>
      <c r="AO40" s="173">
        <f>IF($F36="",0,SUMIF(W$23:W$88,$F36,[1]Calculations!$W$23:$W$88))</f>
        <v>0</v>
      </c>
    </row>
    <row r="41" spans="1:49" ht="12.75" customHeight="1" thickBot="1" x14ac:dyDescent="0.35">
      <c r="A41" s="84"/>
      <c r="B41" s="88"/>
      <c r="C41" s="90"/>
      <c r="D41" s="90"/>
      <c r="E41" s="376"/>
      <c r="F41" s="377"/>
      <c r="G41" s="377"/>
      <c r="H41" s="377"/>
      <c r="I41" s="377"/>
      <c r="J41" s="377"/>
      <c r="K41" s="377"/>
      <c r="L41" s="378"/>
      <c r="M41" s="153"/>
      <c r="N41" s="186" t="str">
        <f>[1]Calculations!R41</f>
        <v>John</v>
      </c>
      <c r="O41" s="164">
        <f>IF([1]Calculations!T41=1,"",[1]Calculations!T41)</f>
        <v>4</v>
      </c>
      <c r="P41" s="164">
        <f>[1]Calculations!S41</f>
        <v>879</v>
      </c>
      <c r="Q41" s="165">
        <f t="shared" si="9"/>
        <v>879</v>
      </c>
      <c r="R41" s="166">
        <v>2018</v>
      </c>
      <c r="S41" s="166">
        <v>2018</v>
      </c>
      <c r="T41" s="166">
        <v>2019</v>
      </c>
      <c r="U41" s="166">
        <v>2019</v>
      </c>
      <c r="V41" s="166">
        <v>2019</v>
      </c>
      <c r="W41" s="166"/>
      <c r="X41" s="84"/>
      <c r="Y41" s="179">
        <f>IF(R41&lt;Year1,,IF(R41&lt;IF(AND(MONTH($N$14)&gt;=10,MONTH($N$14)&lt;=12),YEAR($N$14)+1,YEAR($N$14)),,IF(R41&gt;1,[1]Calculations!$W41/VLOOKUP(R41,Annual_Inputs,3,FALSE),)))</f>
        <v>61.041666666666664</v>
      </c>
      <c r="Z41" s="168">
        <f>IF(S41&lt;Year1,,IF(S41&lt;IF(AND(MONTH($N$14)&gt;=10,MONTH($N$14)&lt;=12),YEAR($N$14)+1,YEAR($N$14)),,IF(S41&gt;1,[1]Calculations!$W41/VLOOKUP(S41,Annual_Inputs,3,FALSE)/$Y$21*Z$21,0)))</f>
        <v>15.260416666666666</v>
      </c>
      <c r="AA41" s="168">
        <f>IF(T41&lt;Year1,,IF(T41&lt;IF(AND(MONTH($N$14)&gt;=10,MONTH($N$14)&lt;=12),YEAR($N$14)+1,YEAR($N$14)),,IF(T41&gt;1,[1]Calculations!$W41/VLOOKUP(T41,Annual_Inputs,3,FALSE)/$Y$21*AA$21,0)))</f>
        <v>30.520833333333332</v>
      </c>
      <c r="AB41" s="168">
        <f>IF(U41&lt;Year1,,IF(U41&lt;IF(AND(MONTH($N$14)&gt;=10,MONTH($N$14)&lt;=12),YEAR($N$14)+1,YEAR($N$14)),,IF(U41&gt;1,[1]Calculations!$W41/VLOOKUP(U41,Annual_Inputs,3,FALSE)/$Y$21*AB$21,0)))</f>
        <v>15.260416666666666</v>
      </c>
      <c r="AC41" s="168">
        <f>IF(V41&lt;Year1,,IF(V41&lt;IF(AND(MONTH($N$14)&gt;=10,MONTH($N$14)&lt;=12),YEAR($N$14)+1,YEAR($N$14)),,IF(V41&gt;1,[1]Calculations!$W41/VLOOKUP(V41,Annual_Inputs,3,FALSE)/$Y$21*AC$21,0)))</f>
        <v>15.260416666666666</v>
      </c>
      <c r="AD41" s="169">
        <f>IF(W41&lt;Year1,,IF(W41&lt;IF(AND(MONTH($N$14)&gt;=10,MONTH($N$14)&lt;=12),YEAR($N$14)+1,YEAR($N$14)),,IF(W41&gt;1,[1]Calculations!$W41/VLOOKUP(W41,Annual_Inputs,3,FALSE)/$Y$21*AD$21,0)))</f>
        <v>0</v>
      </c>
      <c r="AE41" s="170">
        <f t="shared" si="7"/>
        <v>137.34375</v>
      </c>
      <c r="AF41" s="177"/>
      <c r="AG41" s="83"/>
      <c r="AH41" s="83"/>
      <c r="AI41" s="153"/>
      <c r="AJ41" s="173">
        <f>IF($F37="",0,SUMIF(R$23:R$88,$F37,[1]Calculations!$W$23:$W$88))</f>
        <v>0</v>
      </c>
      <c r="AK41" s="173">
        <f>IF($F37="",0,SUMIF(S$23:S$88,$F37,[1]Calculations!$W$23:$W$88))</f>
        <v>0</v>
      </c>
      <c r="AL41" s="173">
        <f>IF($F37="",0,SUMIF(T$23:T$88,$F37,[1]Calculations!$W$23:$W$88))</f>
        <v>0</v>
      </c>
      <c r="AM41" s="173">
        <f>IF($F37="",0,SUMIF(U$23:U$88,$F37,[1]Calculations!$W$23:$W$88))</f>
        <v>0</v>
      </c>
      <c r="AN41" s="173">
        <f>IF($F37="",0,SUMIF(V$23:V$88,$F37,[1]Calculations!$W$23:$W$88))</f>
        <v>0</v>
      </c>
      <c r="AO41" s="173">
        <f>IF($F37="",0,SUMIF(W$23:W$88,$F37,[1]Calculations!$W$23:$W$88))</f>
        <v>0</v>
      </c>
    </row>
    <row r="42" spans="1:49" ht="12.75" customHeight="1" thickBot="1" x14ac:dyDescent="0.3">
      <c r="A42" s="84"/>
      <c r="B42" s="88"/>
      <c r="C42" s="90"/>
      <c r="D42" s="90"/>
      <c r="E42" s="379" t="s">
        <v>181</v>
      </c>
      <c r="F42" s="380"/>
      <c r="G42" s="380"/>
      <c r="H42" s="380"/>
      <c r="I42" s="380"/>
      <c r="J42" s="380"/>
      <c r="K42" s="380"/>
      <c r="L42" s="381"/>
      <c r="M42" s="83"/>
      <c r="N42" s="186" t="str">
        <f>[1]Calculations!R42</f>
        <v>Acts</v>
      </c>
      <c r="O42" s="164">
        <f>IF([1]Calculations!T42=1,"",[1]Calculations!T42)</f>
        <v>3</v>
      </c>
      <c r="P42" s="164">
        <f>[1]Calculations!S42</f>
        <v>1007</v>
      </c>
      <c r="Q42" s="165">
        <f t="shared" si="9"/>
        <v>1007</v>
      </c>
      <c r="R42" s="166">
        <v>2016</v>
      </c>
      <c r="S42" s="166">
        <v>2016</v>
      </c>
      <c r="T42" s="166">
        <v>2017</v>
      </c>
      <c r="U42" s="166">
        <v>2017</v>
      </c>
      <c r="V42" s="166">
        <v>2017</v>
      </c>
      <c r="W42" s="166">
        <v>2018</v>
      </c>
      <c r="X42" s="84"/>
      <c r="Y42" s="167">
        <f>IF(R42&lt;Year1,,IF(R42&lt;IF(AND(MONTH($N$14)&gt;=10,MONTH($N$14)&lt;=12),YEAR($N$14)+1,YEAR($N$14)),,IF(R42&gt;1,[1]Calculations!$W42/VLOOKUP(R42,Annual_Inputs,3,FALSE),)))</f>
        <v>0</v>
      </c>
      <c r="Z42" s="168">
        <f>IF(S42&lt;Year1,,IF(S42&lt;IF(AND(MONTH($N$14)&gt;=10,MONTH($N$14)&lt;=12),YEAR($N$14)+1,YEAR($N$14)),,IF(S42&gt;1,[1]Calculations!$W42/VLOOKUP(S42,Annual_Inputs,3,FALSE)/$Y$21*Z$21,0)))</f>
        <v>0</v>
      </c>
      <c r="AA42" s="168">
        <f>IF(T42&lt;Year1,,IF(T42&lt;IF(AND(MONTH($N$14)&gt;=10,MONTH($N$14)&lt;=12),YEAR($N$14)+1,YEAR($N$14)),,IF(T42&gt;1,[1]Calculations!$W42/VLOOKUP(T42,Annual_Inputs,3,FALSE)/$Y$21*AA$21,0)))</f>
        <v>33.56666666666667</v>
      </c>
      <c r="AB42" s="168">
        <f>IF(U42&lt;Year1,,IF(U42&lt;IF(AND(MONTH($N$14)&gt;=10,MONTH($N$14)&lt;=12),YEAR($N$14)+1,YEAR($N$14)),,IF(U42&gt;1,[1]Calculations!$W42/VLOOKUP(U42,Annual_Inputs,3,FALSE)/$Y$21*AB$21,0)))</f>
        <v>16.783333333333335</v>
      </c>
      <c r="AC42" s="168">
        <f>IF(V42&lt;Year1,,IF(V42&lt;IF(AND(MONTH($N$14)&gt;=10,MONTH($N$14)&lt;=12),YEAR($N$14)+1,YEAR($N$14)),,IF(V42&gt;1,[1]Calculations!$W42/VLOOKUP(V42,Annual_Inputs,3,FALSE)/$Y$21*AC$21,0)))</f>
        <v>16.783333333333335</v>
      </c>
      <c r="AD42" s="169">
        <f>IF(W42&lt;Year1,,IF(W42&lt;IF(AND(MONTH($N$14)&gt;=10,MONTH($N$14)&lt;=12),YEAR($N$14)+1,YEAR($N$14)),,IF(W42&gt;1,[1]Calculations!$W42/VLOOKUP(W42,Annual_Inputs,3,FALSE)/$Y$21*AD$21,0)))</f>
        <v>13.986111111111109</v>
      </c>
      <c r="AE42" s="170">
        <f t="shared" si="7"/>
        <v>81.119444444444454</v>
      </c>
      <c r="AF42" s="177"/>
      <c r="AG42" s="83"/>
      <c r="AH42" s="83"/>
      <c r="AI42" s="153"/>
      <c r="AJ42" s="173">
        <f>IF($F38="",0,SUMIF(R$23:R$88,$F38,[1]Calculations!$W$23:$W$88))</f>
        <v>0</v>
      </c>
      <c r="AK42" s="173">
        <f>IF($F38="",0,SUMIF(S$23:S$88,$F38,[1]Calculations!$W$23:$W$88))</f>
        <v>0</v>
      </c>
      <c r="AL42" s="173">
        <f>IF($F38="",0,SUMIF(T$23:T$88,$F38,[1]Calculations!$W$23:$W$88))</f>
        <v>0</v>
      </c>
      <c r="AM42" s="173">
        <f>IF($F38="",0,SUMIF(U$23:U$88,$F38,[1]Calculations!$W$23:$W$88))</f>
        <v>0</v>
      </c>
      <c r="AN42" s="173">
        <f>IF($F38="",0,SUMIF(V$23:V$88,$F38,[1]Calculations!$W$23:$W$88))</f>
        <v>0</v>
      </c>
      <c r="AO42" s="173">
        <f>IF($F38="",0,SUMIF(W$23:W$88,$F38,[1]Calculations!$W$23:$W$88))</f>
        <v>0</v>
      </c>
      <c r="AT42" s="189"/>
      <c r="AW42" s="189"/>
    </row>
    <row r="43" spans="1:49" ht="12.75" customHeight="1" x14ac:dyDescent="0.2">
      <c r="A43" s="84"/>
      <c r="B43" s="88"/>
      <c r="C43" s="90"/>
      <c r="D43" s="190">
        <f>YEAR(W14+92)</f>
        <v>2017</v>
      </c>
      <c r="E43" s="191" t="s">
        <v>182</v>
      </c>
      <c r="F43" s="192" t="s">
        <v>183</v>
      </c>
      <c r="G43" s="382" t="s">
        <v>184</v>
      </c>
      <c r="H43" s="383"/>
      <c r="I43" s="383"/>
      <c r="J43" s="383"/>
      <c r="K43" s="383"/>
      <c r="L43" s="384"/>
      <c r="M43" s="83"/>
      <c r="N43" s="186" t="str">
        <f>[1]Calculations!R43</f>
        <v>Romans</v>
      </c>
      <c r="O43" s="164">
        <f>IF([1]Calculations!T43=1,"",[1]Calculations!T43)</f>
        <v>5</v>
      </c>
      <c r="P43" s="164">
        <f>[1]Calculations!S43</f>
        <v>433</v>
      </c>
      <c r="Q43" s="165"/>
      <c r="R43" s="166"/>
      <c r="S43" s="166"/>
      <c r="T43" s="166"/>
      <c r="U43" s="166"/>
      <c r="V43" s="166"/>
      <c r="W43" s="166"/>
      <c r="X43" s="84"/>
      <c r="Y43" s="167">
        <f>IF(R43&lt;Year1,,IF(R43&lt;IF(AND(MONTH($N$14)&gt;=10,MONTH($N$14)&lt;=12),YEAR($N$14)+1,YEAR($N$14)),,IF(R43&gt;1,[1]Calculations!$W43/VLOOKUP(R43,Annual_Inputs,3,FALSE),)))</f>
        <v>0</v>
      </c>
      <c r="Z43" s="168">
        <f>IF(S43&lt;Year1,,IF(S43&lt;IF(AND(MONTH($N$14)&gt;=10,MONTH($N$14)&lt;=12),YEAR($N$14)+1,YEAR($N$14)),,IF(S43&gt;1,[1]Calculations!$W43/VLOOKUP(S43,Annual_Inputs,3,FALSE)/$Y$21*Z$21,0)))</f>
        <v>0</v>
      </c>
      <c r="AA43" s="168">
        <f>IF(T43&lt;Year1,,IF(T43&lt;IF(AND(MONTH($N$14)&gt;=10,MONTH($N$14)&lt;=12),YEAR($N$14)+1,YEAR($N$14)),,IF(T43&gt;1,[1]Calculations!$W43/VLOOKUP(T43,Annual_Inputs,3,FALSE)/$Y$21*AA$21,0)))</f>
        <v>0</v>
      </c>
      <c r="AB43" s="168">
        <f>IF(U43&lt;Year1,,IF(U43&lt;IF(AND(MONTH($N$14)&gt;=10,MONTH($N$14)&lt;=12),YEAR($N$14)+1,YEAR($N$14)),,IF(U43&gt;1,[1]Calculations!$W43/VLOOKUP(U43,Annual_Inputs,3,FALSE)/$Y$21*AB$21,0)))</f>
        <v>0</v>
      </c>
      <c r="AC43" s="168">
        <f>IF(V43&lt;Year1,,IF(V43&lt;IF(AND(MONTH($N$14)&gt;=10,MONTH($N$14)&lt;=12),YEAR($N$14)+1,YEAR($N$14)),,IF(V43&gt;1,[1]Calculations!$W43/VLOOKUP(V43,Annual_Inputs,3,FALSE)/$Y$21*AC$21,0)))</f>
        <v>0</v>
      </c>
      <c r="AD43" s="169">
        <f>IF(W43&lt;Year1,,IF(W43&lt;IF(AND(MONTH($N$14)&gt;=10,MONTH($N$14)&lt;=12),YEAR($N$14)+1,YEAR($N$14)),,IF(W43&gt;1,[1]Calculations!$W43/VLOOKUP(W43,Annual_Inputs,3,FALSE)/$Y$21*AD$21,0)))</f>
        <v>0</v>
      </c>
      <c r="AE43" s="170">
        <f t="shared" si="7"/>
        <v>0</v>
      </c>
      <c r="AF43" s="177"/>
      <c r="AG43" s="83"/>
      <c r="AH43" s="83"/>
      <c r="AI43" s="153"/>
    </row>
    <row r="44" spans="1:49" ht="12.75" customHeight="1" x14ac:dyDescent="0.2">
      <c r="A44" s="84"/>
      <c r="B44" s="88"/>
      <c r="C44" s="90"/>
      <c r="D44" s="90">
        <f>YEAR(W15+92)</f>
        <v>2019</v>
      </c>
      <c r="E44" s="193" t="s">
        <v>185</v>
      </c>
      <c r="F44" s="194" t="s">
        <v>186</v>
      </c>
      <c r="G44" s="385"/>
      <c r="H44" s="386"/>
      <c r="I44" s="386"/>
      <c r="J44" s="386"/>
      <c r="K44" s="386"/>
      <c r="L44" s="387"/>
      <c r="M44" s="83"/>
      <c r="N44" s="186" t="str">
        <f>[1]Calculations!R44</f>
        <v>I Corinthians</v>
      </c>
      <c r="O44" s="164">
        <f>IF([1]Calculations!T44=1,"",[1]Calculations!T44)</f>
        <v>4</v>
      </c>
      <c r="P44" s="164">
        <f>[1]Calculations!S44</f>
        <v>437</v>
      </c>
      <c r="Q44" s="165"/>
      <c r="R44" s="166"/>
      <c r="S44" s="166"/>
      <c r="T44" s="166"/>
      <c r="U44" s="166"/>
      <c r="V44" s="166"/>
      <c r="W44" s="166"/>
      <c r="X44" s="84"/>
      <c r="Y44" s="167">
        <f>IF(R44&lt;Year1,,IF(R44&lt;IF(AND(MONTH($N$14)&gt;=10,MONTH($N$14)&lt;=12),YEAR($N$14)+1,YEAR($N$14)),,IF(R44&gt;1,[1]Calculations!$W44/VLOOKUP(R44,Annual_Inputs,3,FALSE),)))</f>
        <v>0</v>
      </c>
      <c r="Z44" s="168">
        <f>IF(S44&lt;Year1,,IF(S44&lt;IF(AND(MONTH($N$14)&gt;=10,MONTH($N$14)&lt;=12),YEAR($N$14)+1,YEAR($N$14)),,IF(S44&gt;1,[1]Calculations!$W44/VLOOKUP(S44,Annual_Inputs,3,FALSE)/$Y$21*Z$21,0)))</f>
        <v>0</v>
      </c>
      <c r="AA44" s="168">
        <f>IF(T44&lt;Year1,,IF(T44&lt;IF(AND(MONTH($N$14)&gt;=10,MONTH($N$14)&lt;=12),YEAR($N$14)+1,YEAR($N$14)),,IF(T44&gt;1,[1]Calculations!$W44/VLOOKUP(T44,Annual_Inputs,3,FALSE)/$Y$21*AA$21,0)))</f>
        <v>0</v>
      </c>
      <c r="AB44" s="168">
        <f>IF(U44&lt;Year1,,IF(U44&lt;IF(AND(MONTH($N$14)&gt;=10,MONTH($N$14)&lt;=12),YEAR($N$14)+1,YEAR($N$14)),,IF(U44&gt;1,[1]Calculations!$W44/VLOOKUP(U44,Annual_Inputs,3,FALSE)/$Y$21*AB$21,0)))</f>
        <v>0</v>
      </c>
      <c r="AC44" s="168">
        <f>IF(V44&lt;Year1,,IF(V44&lt;IF(AND(MONTH($N$14)&gt;=10,MONTH($N$14)&lt;=12),YEAR($N$14)+1,YEAR($N$14)),,IF(V44&gt;1,[1]Calculations!$W44/VLOOKUP(V44,Annual_Inputs,3,FALSE)/$Y$21*AC$21,0)))</f>
        <v>0</v>
      </c>
      <c r="AD44" s="169">
        <f>IF(W44&lt;Year1,,IF(W44&lt;IF(AND(MONTH($N$14)&gt;=10,MONTH($N$14)&lt;=12),YEAR($N$14)+1,YEAR($N$14)),,IF(W44&gt;1,[1]Calculations!$W44/VLOOKUP(W44,Annual_Inputs,3,FALSE)/$Y$21*AD$21,0)))</f>
        <v>0</v>
      </c>
      <c r="AE44" s="170">
        <f t="shared" si="7"/>
        <v>0</v>
      </c>
      <c r="AF44" s="177"/>
      <c r="AG44" s="83"/>
      <c r="AH44" s="83"/>
      <c r="AI44" s="83"/>
    </row>
    <row r="45" spans="1:49" ht="12.75" customHeight="1" x14ac:dyDescent="0.2">
      <c r="A45" s="84"/>
      <c r="B45" s="88"/>
      <c r="C45" s="90"/>
      <c r="D45" s="90"/>
      <c r="E45" s="193" t="s">
        <v>187</v>
      </c>
      <c r="F45" s="195" t="s">
        <v>188</v>
      </c>
      <c r="G45" s="385"/>
      <c r="H45" s="386"/>
      <c r="I45" s="386"/>
      <c r="J45" s="386"/>
      <c r="K45" s="386"/>
      <c r="L45" s="387"/>
      <c r="M45" s="83"/>
      <c r="N45" s="186" t="str">
        <f>[1]Calculations!R45</f>
        <v>2 Corinthians</v>
      </c>
      <c r="O45" s="164">
        <f>IF([1]Calculations!T45=1,"",[1]Calculations!T45)</f>
        <v>4</v>
      </c>
      <c r="P45" s="164">
        <f>[1]Calculations!S45</f>
        <v>257</v>
      </c>
      <c r="Q45" s="165"/>
      <c r="R45" s="166"/>
      <c r="S45" s="166"/>
      <c r="T45" s="166"/>
      <c r="U45" s="166"/>
      <c r="V45" s="166"/>
      <c r="W45" s="166"/>
      <c r="X45" s="84"/>
      <c r="Y45" s="167">
        <f>IF(R45&lt;Year1,,IF(R45&lt;IF(AND(MONTH($N$14)&gt;=10,MONTH($N$14)&lt;=12),YEAR($N$14)+1,YEAR($N$14)),,IF(R45&gt;1,[1]Calculations!$W45/VLOOKUP(R45,Annual_Inputs,3,FALSE),)))</f>
        <v>0</v>
      </c>
      <c r="Z45" s="168">
        <f>IF(S45&lt;Year1,,IF(S45&lt;IF(AND(MONTH($N$14)&gt;=10,MONTH($N$14)&lt;=12),YEAR($N$14)+1,YEAR($N$14)),,IF(S45&gt;1,[1]Calculations!$W45/VLOOKUP(S45,Annual_Inputs,3,FALSE)/$Y$21*Z$21,0)))</f>
        <v>0</v>
      </c>
      <c r="AA45" s="168">
        <f>IF(T45&lt;Year1,,IF(T45&lt;IF(AND(MONTH($N$14)&gt;=10,MONTH($N$14)&lt;=12),YEAR($N$14)+1,YEAR($N$14)),,IF(T45&gt;1,[1]Calculations!$W45/VLOOKUP(T45,Annual_Inputs,3,FALSE)/$Y$21*AA$21,0)))</f>
        <v>0</v>
      </c>
      <c r="AB45" s="168">
        <f>IF(U45&lt;Year1,,IF(U45&lt;IF(AND(MONTH($N$14)&gt;=10,MONTH($N$14)&lt;=12),YEAR($N$14)+1,YEAR($N$14)),,IF(U45&gt;1,[1]Calculations!$W45/VLOOKUP(U45,Annual_Inputs,3,FALSE)/$Y$21*AB$21,0)))</f>
        <v>0</v>
      </c>
      <c r="AC45" s="168">
        <f>IF(V45&lt;Year1,,IF(V45&lt;IF(AND(MONTH($N$14)&gt;=10,MONTH($N$14)&lt;=12),YEAR($N$14)+1,YEAR($N$14)),,IF(V45&gt;1,[1]Calculations!$W45/VLOOKUP(V45,Annual_Inputs,3,FALSE)/$Y$21*AC$21,0)))</f>
        <v>0</v>
      </c>
      <c r="AD45" s="169">
        <f>IF(W45&lt;Year1,,IF(W45&lt;IF(AND(MONTH($N$14)&gt;=10,MONTH($N$14)&lt;=12),YEAR($N$14)+1,YEAR($N$14)),,IF(W45&gt;1,[1]Calculations!$W45/VLOOKUP(W45,Annual_Inputs,3,FALSE)/$Y$21*AD$21,0)))</f>
        <v>0</v>
      </c>
      <c r="AE45" s="170">
        <f t="shared" si="7"/>
        <v>0</v>
      </c>
      <c r="AF45" s="177"/>
      <c r="AG45" s="83"/>
      <c r="AH45" s="83"/>
      <c r="AI45" s="153"/>
    </row>
    <row r="46" spans="1:49" ht="12.75" customHeight="1" x14ac:dyDescent="0.2">
      <c r="A46" s="84"/>
      <c r="B46" s="88"/>
      <c r="C46" s="90"/>
      <c r="D46" s="90"/>
      <c r="E46" s="196" t="s">
        <v>189</v>
      </c>
      <c r="F46" s="194" t="s">
        <v>190</v>
      </c>
      <c r="G46" s="385"/>
      <c r="H46" s="386"/>
      <c r="I46" s="386"/>
      <c r="J46" s="386"/>
      <c r="K46" s="386"/>
      <c r="L46" s="387"/>
      <c r="M46" s="83"/>
      <c r="N46" s="186" t="str">
        <f>[1]Calculations!R46</f>
        <v>Galatians</v>
      </c>
      <c r="O46" s="164">
        <f>IF([1]Calculations!T46=1,"",[1]Calculations!T46)</f>
        <v>5</v>
      </c>
      <c r="P46" s="164">
        <f>[1]Calculations!S46</f>
        <v>149</v>
      </c>
      <c r="Q46" s="165"/>
      <c r="R46" s="166"/>
      <c r="S46" s="166"/>
      <c r="T46" s="166"/>
      <c r="U46" s="166"/>
      <c r="V46" s="166"/>
      <c r="W46" s="166"/>
      <c r="X46" s="84"/>
      <c r="Y46" s="167">
        <f>IF(R46&lt;Year1,,IF(R46&lt;IF(AND(MONTH($N$14)&gt;=10,MONTH($N$14)&lt;=12),YEAR($N$14)+1,YEAR($N$14)),,IF(R46&gt;1,[1]Calculations!$W46/VLOOKUP(R46,Annual_Inputs,3,FALSE),)))</f>
        <v>0</v>
      </c>
      <c r="Z46" s="168">
        <f>IF(S46&lt;Year1,,IF(S46&lt;IF(AND(MONTH($N$14)&gt;=10,MONTH($N$14)&lt;=12),YEAR($N$14)+1,YEAR($N$14)),,IF(S46&gt;1,[1]Calculations!$W46/VLOOKUP(S46,Annual_Inputs,3,FALSE)/$Y$21*Z$21,0)))</f>
        <v>0</v>
      </c>
      <c r="AA46" s="168">
        <f>IF(T46&lt;Year1,,IF(T46&lt;IF(AND(MONTH($N$14)&gt;=10,MONTH($N$14)&lt;=12),YEAR($N$14)+1,YEAR($N$14)),,IF(T46&gt;1,[1]Calculations!$W46/VLOOKUP(T46,Annual_Inputs,3,FALSE)/$Y$21*AA$21,0)))</f>
        <v>0</v>
      </c>
      <c r="AB46" s="168">
        <f>IF(U46&lt;Year1,,IF(U46&lt;IF(AND(MONTH($N$14)&gt;=10,MONTH($N$14)&lt;=12),YEAR($N$14)+1,YEAR($N$14)),,IF(U46&gt;1,[1]Calculations!$W46/VLOOKUP(U46,Annual_Inputs,3,FALSE)/$Y$21*AB$21,0)))</f>
        <v>0</v>
      </c>
      <c r="AC46" s="168">
        <f>IF(V46&lt;Year1,,IF(V46&lt;IF(AND(MONTH($N$14)&gt;=10,MONTH($N$14)&lt;=12),YEAR($N$14)+1,YEAR($N$14)),,IF(V46&gt;1,[1]Calculations!$W46/VLOOKUP(V46,Annual_Inputs,3,FALSE)/$Y$21*AC$21,0)))</f>
        <v>0</v>
      </c>
      <c r="AD46" s="169">
        <f>IF(W46&lt;Year1,,IF(W46&lt;IF(AND(MONTH($N$14)&gt;=10,MONTH($N$14)&lt;=12),YEAR($N$14)+1,YEAR($N$14)),,IF(W46&gt;1,[1]Calculations!$W46/VLOOKUP(W46,Annual_Inputs,3,FALSE)/$Y$21*AD$21,0)))</f>
        <v>0</v>
      </c>
      <c r="AE46" s="170">
        <f t="shared" si="7"/>
        <v>0</v>
      </c>
      <c r="AF46" s="177"/>
      <c r="AG46" s="83"/>
      <c r="AH46" s="83"/>
      <c r="AI46" s="83"/>
    </row>
    <row r="47" spans="1:49" ht="12.75" customHeight="1" x14ac:dyDescent="0.2">
      <c r="A47" s="84"/>
      <c r="B47" s="88"/>
      <c r="C47" s="90"/>
      <c r="D47" s="90"/>
      <c r="E47" s="193" t="s">
        <v>191</v>
      </c>
      <c r="F47" s="194" t="s">
        <v>192</v>
      </c>
      <c r="G47" s="385"/>
      <c r="H47" s="386"/>
      <c r="I47" s="386"/>
      <c r="J47" s="386"/>
      <c r="K47" s="386"/>
      <c r="L47" s="387"/>
      <c r="M47" s="83"/>
      <c r="N47" s="186" t="str">
        <f>[1]Calculations!R47</f>
        <v>Ephesians</v>
      </c>
      <c r="O47" s="164">
        <f>IF([1]Calculations!T47=1,"",[1]Calculations!T47)</f>
        <v>5</v>
      </c>
      <c r="P47" s="164">
        <f>[1]Calculations!S47</f>
        <v>155</v>
      </c>
      <c r="Q47" s="165"/>
      <c r="R47" s="166"/>
      <c r="S47" s="166"/>
      <c r="T47" s="166"/>
      <c r="U47" s="166"/>
      <c r="V47" s="166"/>
      <c r="W47" s="166"/>
      <c r="X47" s="84"/>
      <c r="Y47" s="167">
        <f>IF(R47&lt;Year1,,IF(R47&lt;IF(AND(MONTH($N$14)&gt;=10,MONTH($N$14)&lt;=12),YEAR($N$14)+1,YEAR($N$14)),,IF(R47&gt;1,[1]Calculations!$W47/VLOOKUP(R47,Annual_Inputs,3,FALSE),)))</f>
        <v>0</v>
      </c>
      <c r="Z47" s="168">
        <f>IF(S47&lt;Year1,,IF(S47&lt;IF(AND(MONTH($N$14)&gt;=10,MONTH($N$14)&lt;=12),YEAR($N$14)+1,YEAR($N$14)),,IF(S47&gt;1,[1]Calculations!$W47/VLOOKUP(S47,Annual_Inputs,3,FALSE)/$Y$21*Z$21,0)))</f>
        <v>0</v>
      </c>
      <c r="AA47" s="168">
        <f>IF(T47&lt;Year1,,IF(T47&lt;IF(AND(MONTH($N$14)&gt;=10,MONTH($N$14)&lt;=12),YEAR($N$14)+1,YEAR($N$14)),,IF(T47&gt;1,[1]Calculations!$W47/VLOOKUP(T47,Annual_Inputs,3,FALSE)/$Y$21*AA$21,0)))</f>
        <v>0</v>
      </c>
      <c r="AB47" s="168">
        <f>IF(U47&lt;Year1,,IF(U47&lt;IF(AND(MONTH($N$14)&gt;=10,MONTH($N$14)&lt;=12),YEAR($N$14)+1,YEAR($N$14)),,IF(U47&gt;1,[1]Calculations!$W47/VLOOKUP(U47,Annual_Inputs,3,FALSE)/$Y$21*AB$21,0)))</f>
        <v>0</v>
      </c>
      <c r="AC47" s="168">
        <f>IF(V47&lt;Year1,,IF(V47&lt;IF(AND(MONTH($N$14)&gt;=10,MONTH($N$14)&lt;=12),YEAR($N$14)+1,YEAR($N$14)),,IF(V47&gt;1,[1]Calculations!$W47/VLOOKUP(V47,Annual_Inputs,3,FALSE)/$Y$21*AC$21,0)))</f>
        <v>0</v>
      </c>
      <c r="AD47" s="169">
        <f>IF(W47&lt;Year1,,IF(W47&lt;IF(AND(MONTH($N$14)&gt;=10,MONTH($N$14)&lt;=12),YEAR($N$14)+1,YEAR($N$14)),,IF(W47&gt;1,[1]Calculations!$W47/VLOOKUP(W47,Annual_Inputs,3,FALSE)/$Y$21*AD$21,0)))</f>
        <v>0</v>
      </c>
      <c r="AE47" s="170">
        <f t="shared" si="7"/>
        <v>0</v>
      </c>
      <c r="AF47" s="177"/>
      <c r="AG47" s="83"/>
      <c r="AH47" s="83"/>
      <c r="AI47" s="83"/>
    </row>
    <row r="48" spans="1:49" ht="12.75" customHeight="1" x14ac:dyDescent="0.2">
      <c r="A48" s="84"/>
      <c r="B48" s="88"/>
      <c r="C48" s="90"/>
      <c r="D48" s="90"/>
      <c r="E48" s="193" t="s">
        <v>193</v>
      </c>
      <c r="F48" s="194" t="s">
        <v>194</v>
      </c>
      <c r="G48" s="385"/>
      <c r="H48" s="386"/>
      <c r="I48" s="386"/>
      <c r="J48" s="386"/>
      <c r="K48" s="386"/>
      <c r="L48" s="387"/>
      <c r="M48" s="83"/>
      <c r="N48" s="186" t="str">
        <f>[1]Calculations!R48</f>
        <v>Philippians</v>
      </c>
      <c r="O48" s="164">
        <f>IF([1]Calculations!T48=1,"",[1]Calculations!T48)</f>
        <v>5</v>
      </c>
      <c r="P48" s="164">
        <f>[1]Calculations!S48</f>
        <v>104</v>
      </c>
      <c r="Q48" s="165"/>
      <c r="R48" s="166"/>
      <c r="S48" s="166"/>
      <c r="T48" s="166"/>
      <c r="U48" s="166"/>
      <c r="V48" s="166"/>
      <c r="W48" s="166"/>
      <c r="X48" s="84"/>
      <c r="Y48" s="167">
        <f>IF(R48&lt;Year1,,IF(R48&lt;IF(AND(MONTH($N$14)&gt;=10,MONTH($N$14)&lt;=12),YEAR($N$14)+1,YEAR($N$14)),,IF(R48&gt;1,[1]Calculations!$W48/VLOOKUP(R48,Annual_Inputs,3,FALSE),)))</f>
        <v>0</v>
      </c>
      <c r="Z48" s="168">
        <f>IF(S48&lt;Year1,,IF(S48&lt;IF(AND(MONTH($N$14)&gt;=10,MONTH($N$14)&lt;=12),YEAR($N$14)+1,YEAR($N$14)),,IF(S48&gt;1,[1]Calculations!$W48/VLOOKUP(S48,Annual_Inputs,3,FALSE)/$Y$21*Z$21,0)))</f>
        <v>0</v>
      </c>
      <c r="AA48" s="168">
        <f>IF(T48&lt;Year1,,IF(T48&lt;IF(AND(MONTH($N$14)&gt;=10,MONTH($N$14)&lt;=12),YEAR($N$14)+1,YEAR($N$14)),,IF(T48&gt;1,[1]Calculations!$W48/VLOOKUP(T48,Annual_Inputs,3,FALSE)/$Y$21*AA$21,0)))</f>
        <v>0</v>
      </c>
      <c r="AB48" s="168">
        <f>IF(U48&lt;Year1,,IF(U48&lt;IF(AND(MONTH($N$14)&gt;=10,MONTH($N$14)&lt;=12),YEAR($N$14)+1,YEAR($N$14)),,IF(U48&gt;1,[1]Calculations!$W48/VLOOKUP(U48,Annual_Inputs,3,FALSE)/$Y$21*AB$21,0)))</f>
        <v>0</v>
      </c>
      <c r="AC48" s="168">
        <f>IF(V48&lt;Year1,,IF(V48&lt;IF(AND(MONTH($N$14)&gt;=10,MONTH($N$14)&lt;=12),YEAR($N$14)+1,YEAR($N$14)),,IF(V48&gt;1,[1]Calculations!$W48/VLOOKUP(V48,Annual_Inputs,3,FALSE)/$Y$21*AC$21,0)))</f>
        <v>0</v>
      </c>
      <c r="AD48" s="169">
        <f>IF(W48&lt;Year1,,IF(W48&lt;IF(AND(MONTH($N$14)&gt;=10,MONTH($N$14)&lt;=12),YEAR($N$14)+1,YEAR($N$14)),,IF(W48&gt;1,[1]Calculations!$W48/VLOOKUP(W48,Annual_Inputs,3,FALSE)/$Y$21*AD$21,0)))</f>
        <v>0</v>
      </c>
      <c r="AE48" s="170">
        <f t="shared" si="7"/>
        <v>0</v>
      </c>
      <c r="AF48" s="177"/>
      <c r="AG48" s="83"/>
      <c r="AH48" s="83"/>
      <c r="AI48" s="83"/>
    </row>
    <row r="49" spans="1:35" ht="12.75" customHeight="1" x14ac:dyDescent="0.2">
      <c r="A49" s="84"/>
      <c r="B49" s="88"/>
      <c r="C49" s="90"/>
      <c r="D49" s="90"/>
      <c r="E49" s="193"/>
      <c r="F49" s="194"/>
      <c r="G49" s="385"/>
      <c r="H49" s="386"/>
      <c r="I49" s="386"/>
      <c r="J49" s="386"/>
      <c r="K49" s="386"/>
      <c r="L49" s="387"/>
      <c r="M49" s="83"/>
      <c r="N49" s="186" t="str">
        <f>[1]Calculations!R49</f>
        <v>Colossians</v>
      </c>
      <c r="O49" s="164">
        <f>IF([1]Calculations!T49=1,"",[1]Calculations!T49)</f>
        <v>5</v>
      </c>
      <c r="P49" s="164">
        <f>[1]Calculations!S49</f>
        <v>95</v>
      </c>
      <c r="Q49" s="165"/>
      <c r="R49" s="166"/>
      <c r="S49" s="166"/>
      <c r="T49" s="166"/>
      <c r="U49" s="166"/>
      <c r="V49" s="166"/>
      <c r="W49" s="166"/>
      <c r="X49" s="84"/>
      <c r="Y49" s="167">
        <f>IF(R49&lt;Year1,,IF(R49&lt;IF(AND(MONTH($N$14)&gt;=10,MONTH($N$14)&lt;=12),YEAR($N$14)+1,YEAR($N$14)),,IF(R49&gt;1,[1]Calculations!$W49/VLOOKUP(R49,Annual_Inputs,3,FALSE),)))</f>
        <v>0</v>
      </c>
      <c r="Z49" s="168">
        <f>IF(S49&lt;Year1,,IF(S49&lt;IF(AND(MONTH($N$14)&gt;=10,MONTH($N$14)&lt;=12),YEAR($N$14)+1,YEAR($N$14)),,IF(S49&gt;1,[1]Calculations!$W49/VLOOKUP(S49,Annual_Inputs,3,FALSE)/$Y$21*Z$21,0)))</f>
        <v>0</v>
      </c>
      <c r="AA49" s="168">
        <f>IF(T49&lt;Year1,,IF(T49&lt;IF(AND(MONTH($N$14)&gt;=10,MONTH($N$14)&lt;=12),YEAR($N$14)+1,YEAR($N$14)),,IF(T49&gt;1,[1]Calculations!$W49/VLOOKUP(T49,Annual_Inputs,3,FALSE)/$Y$21*AA$21,0)))</f>
        <v>0</v>
      </c>
      <c r="AB49" s="168">
        <f>IF(U49&lt;Year1,,IF(U49&lt;IF(AND(MONTH($N$14)&gt;=10,MONTH($N$14)&lt;=12),YEAR($N$14)+1,YEAR($N$14)),,IF(U49&gt;1,[1]Calculations!$W49/VLOOKUP(U49,Annual_Inputs,3,FALSE)/$Y$21*AB$21,0)))</f>
        <v>0</v>
      </c>
      <c r="AC49" s="168">
        <f>IF(V49&lt;Year1,,IF(V49&lt;IF(AND(MONTH($N$14)&gt;=10,MONTH($N$14)&lt;=12),YEAR($N$14)+1,YEAR($N$14)),,IF(V49&gt;1,[1]Calculations!$W49/VLOOKUP(V49,Annual_Inputs,3,FALSE)/$Y$21*AC$21,0)))</f>
        <v>0</v>
      </c>
      <c r="AD49" s="169">
        <f>IF(W49&lt;Year1,,IF(W49&lt;IF(AND(MONTH($N$14)&gt;=10,MONTH($N$14)&lt;=12),YEAR($N$14)+1,YEAR($N$14)),,IF(W49&gt;1,[1]Calculations!$W49/VLOOKUP(W49,Annual_Inputs,3,FALSE)/$Y$21*AD$21,0)))</f>
        <v>0</v>
      </c>
      <c r="AE49" s="170">
        <f t="shared" si="7"/>
        <v>0</v>
      </c>
      <c r="AF49" s="177"/>
      <c r="AG49" s="83"/>
      <c r="AH49" s="83"/>
      <c r="AI49" s="83"/>
    </row>
    <row r="50" spans="1:35" ht="12.75" customHeight="1" thickBot="1" x14ac:dyDescent="0.25">
      <c r="A50" s="84"/>
      <c r="B50" s="88"/>
      <c r="C50" s="90"/>
      <c r="D50" s="90"/>
      <c r="E50" s="197"/>
      <c r="F50" s="198"/>
      <c r="G50" s="385"/>
      <c r="H50" s="386"/>
      <c r="I50" s="386"/>
      <c r="J50" s="386"/>
      <c r="K50" s="386"/>
      <c r="L50" s="387"/>
      <c r="M50" s="83"/>
      <c r="N50" s="186" t="str">
        <f>[1]Calculations!R50</f>
        <v>1 Thessalonians</v>
      </c>
      <c r="O50" s="164">
        <f>IF([1]Calculations!T50=1,"",[1]Calculations!T50)</f>
        <v>4</v>
      </c>
      <c r="P50" s="164">
        <f>[1]Calculations!S50</f>
        <v>89</v>
      </c>
      <c r="Q50" s="165"/>
      <c r="R50" s="166"/>
      <c r="S50" s="166"/>
      <c r="T50" s="166"/>
      <c r="U50" s="166"/>
      <c r="V50" s="166"/>
      <c r="W50" s="166"/>
      <c r="X50" s="84"/>
      <c r="Y50" s="167">
        <f>IF(R50&lt;Year1,,IF(R50&lt;IF(AND(MONTH($N$14)&gt;=10,MONTH($N$14)&lt;=12),YEAR($N$14)+1,YEAR($N$14)),,IF(R50&gt;1,[1]Calculations!$W50/VLOOKUP(R50,Annual_Inputs,3,FALSE),)))</f>
        <v>0</v>
      </c>
      <c r="Z50" s="168">
        <f>IF(S50&lt;Year1,,IF(S50&lt;IF(AND(MONTH($N$14)&gt;=10,MONTH($N$14)&lt;=12),YEAR($N$14)+1,YEAR($N$14)),,IF(S50&gt;1,[1]Calculations!$W50/VLOOKUP(S50,Annual_Inputs,3,FALSE)/$Y$21*Z$21,0)))</f>
        <v>0</v>
      </c>
      <c r="AA50" s="168">
        <f>IF(T50&lt;Year1,,IF(T50&lt;IF(AND(MONTH($N$14)&gt;=10,MONTH($N$14)&lt;=12),YEAR($N$14)+1,YEAR($N$14)),,IF(T50&gt;1,[1]Calculations!$W50/VLOOKUP(T50,Annual_Inputs,3,FALSE)/$Y$21*AA$21,0)))</f>
        <v>0</v>
      </c>
      <c r="AB50" s="168">
        <f>IF(U50&lt;Year1,,IF(U50&lt;IF(AND(MONTH($N$14)&gt;=10,MONTH($N$14)&lt;=12),YEAR($N$14)+1,YEAR($N$14)),,IF(U50&gt;1,[1]Calculations!$W50/VLOOKUP(U50,Annual_Inputs,3,FALSE)/$Y$21*AB$21,0)))</f>
        <v>0</v>
      </c>
      <c r="AC50" s="168">
        <f>IF(V50&lt;Year1,,IF(V50&lt;IF(AND(MONTH($N$14)&gt;=10,MONTH($N$14)&lt;=12),YEAR($N$14)+1,YEAR($N$14)),,IF(V50&gt;1,[1]Calculations!$W50/VLOOKUP(V50,Annual_Inputs,3,FALSE)/$Y$21*AC$21,0)))</f>
        <v>0</v>
      </c>
      <c r="AD50" s="169">
        <f>IF(W50&lt;Year1,,IF(W50&lt;IF(AND(MONTH($N$14)&gt;=10,MONTH($N$14)&lt;=12),YEAR($N$14)+1,YEAR($N$14)),,IF(W50&gt;1,[1]Calculations!$W50/VLOOKUP(W50,Annual_Inputs,3,FALSE)/$Y$21*AD$21,0)))</f>
        <v>0</v>
      </c>
      <c r="AE50" s="170">
        <f t="shared" si="7"/>
        <v>0</v>
      </c>
      <c r="AF50" s="177"/>
      <c r="AG50" s="83"/>
      <c r="AH50" s="83"/>
      <c r="AI50" s="83"/>
    </row>
    <row r="51" spans="1:35" ht="12.75" customHeight="1" thickBot="1" x14ac:dyDescent="0.25">
      <c r="A51" s="84"/>
      <c r="B51" s="88"/>
      <c r="C51" s="90"/>
      <c r="D51" s="90"/>
      <c r="E51" s="388" t="s">
        <v>195</v>
      </c>
      <c r="F51" s="329"/>
      <c r="G51" s="329"/>
      <c r="H51" s="329"/>
      <c r="I51" s="329"/>
      <c r="J51" s="329"/>
      <c r="K51" s="329"/>
      <c r="L51" s="330"/>
      <c r="M51" s="83"/>
      <c r="N51" s="186" t="str">
        <f>[1]Calculations!R51</f>
        <v>2 Thessalonians</v>
      </c>
      <c r="O51" s="164">
        <f>IF([1]Calculations!T51=1,"",[1]Calculations!T51)</f>
        <v>4</v>
      </c>
      <c r="P51" s="164">
        <f>[1]Calculations!S51</f>
        <v>47</v>
      </c>
      <c r="Q51" s="165"/>
      <c r="R51" s="166"/>
      <c r="S51" s="166"/>
      <c r="T51" s="166"/>
      <c r="U51" s="166"/>
      <c r="V51" s="166"/>
      <c r="W51" s="166"/>
      <c r="X51" s="84"/>
      <c r="Y51" s="167">
        <f>IF(R51&lt;Year1,,IF(R51&lt;IF(AND(MONTH($N$14)&gt;=10,MONTH($N$14)&lt;=12),YEAR($N$14)+1,YEAR($N$14)),,IF(R51&gt;1,[1]Calculations!$W51/VLOOKUP(R51,Annual_Inputs,3,FALSE),)))</f>
        <v>0</v>
      </c>
      <c r="Z51" s="168">
        <f>IF(S51&lt;Year1,,IF(S51&lt;IF(AND(MONTH($N$14)&gt;=10,MONTH($N$14)&lt;=12),YEAR($N$14)+1,YEAR($N$14)),,IF(S51&gt;1,[1]Calculations!$W51/VLOOKUP(S51,Annual_Inputs,3,FALSE)/$Y$21*Z$21,0)))</f>
        <v>0</v>
      </c>
      <c r="AA51" s="168">
        <f>IF(T51&lt;Year1,,IF(T51&lt;IF(AND(MONTH($N$14)&gt;=10,MONTH($N$14)&lt;=12),YEAR($N$14)+1,YEAR($N$14)),,IF(T51&gt;1,[1]Calculations!$W51/VLOOKUP(T51,Annual_Inputs,3,FALSE)/$Y$21*AA$21,0)))</f>
        <v>0</v>
      </c>
      <c r="AB51" s="168">
        <f>IF(U51&lt;Year1,,IF(U51&lt;IF(AND(MONTH($N$14)&gt;=10,MONTH($N$14)&lt;=12),YEAR($N$14)+1,YEAR($N$14)),,IF(U51&gt;1,[1]Calculations!$W51/VLOOKUP(U51,Annual_Inputs,3,FALSE)/$Y$21*AB$21,0)))</f>
        <v>0</v>
      </c>
      <c r="AC51" s="168">
        <f>IF(V51&lt;Year1,,IF(V51&lt;IF(AND(MONTH($N$14)&gt;=10,MONTH($N$14)&lt;=12),YEAR($N$14)+1,YEAR($N$14)),,IF(V51&gt;1,[1]Calculations!$W51/VLOOKUP(V51,Annual_Inputs,3,FALSE)/$Y$21*AC$21,0)))</f>
        <v>0</v>
      </c>
      <c r="AD51" s="169">
        <f>IF(W51&lt;Year1,,IF(W51&lt;IF(AND(MONTH($N$14)&gt;=10,MONTH($N$14)&lt;=12),YEAR($N$14)+1,YEAR($N$14)),,IF(W51&gt;1,[1]Calculations!$W51/VLOOKUP(W51,Annual_Inputs,3,FALSE)/$Y$21*AD$21,0)))</f>
        <v>0</v>
      </c>
      <c r="AE51" s="170">
        <f t="shared" si="7"/>
        <v>0</v>
      </c>
      <c r="AF51" s="177"/>
      <c r="AG51" s="83"/>
      <c r="AH51" s="83"/>
      <c r="AI51" s="83"/>
    </row>
    <row r="52" spans="1:35" ht="12.75" customHeight="1" x14ac:dyDescent="0.2">
      <c r="A52" s="84"/>
      <c r="B52" s="88"/>
      <c r="C52" s="90"/>
      <c r="D52" s="90"/>
      <c r="E52" s="362" t="s">
        <v>196</v>
      </c>
      <c r="F52" s="363"/>
      <c r="G52" s="363"/>
      <c r="H52" s="363"/>
      <c r="I52" s="363"/>
      <c r="J52" s="363"/>
      <c r="K52" s="364"/>
      <c r="L52" s="199">
        <v>180</v>
      </c>
      <c r="M52" s="83"/>
      <c r="N52" s="186" t="str">
        <f>[1]Calculations!R52</f>
        <v>1 Timothy</v>
      </c>
      <c r="O52" s="164">
        <f>IF([1]Calculations!T52=1,"",[1]Calculations!T52)</f>
        <v>3</v>
      </c>
      <c r="P52" s="164">
        <f>[1]Calculations!S52</f>
        <v>113</v>
      </c>
      <c r="Q52" s="165"/>
      <c r="R52" s="166"/>
      <c r="S52" s="166"/>
      <c r="T52" s="166"/>
      <c r="U52" s="166"/>
      <c r="V52" s="166"/>
      <c r="W52" s="166"/>
      <c r="X52" s="84"/>
      <c r="Y52" s="167">
        <f>IF(R52&lt;Year1,,IF(R52&lt;IF(AND(MONTH($N$14)&gt;=10,MONTH($N$14)&lt;=12),YEAR($N$14)+1,YEAR($N$14)),,IF(R52&gt;1,[1]Calculations!$W52/VLOOKUP(R52,Annual_Inputs,3,FALSE),)))</f>
        <v>0</v>
      </c>
      <c r="Z52" s="168">
        <f>IF(S52&lt;Year1,,IF(S52&lt;IF(AND(MONTH($N$14)&gt;=10,MONTH($N$14)&lt;=12),YEAR($N$14)+1,YEAR($N$14)),,IF(S52&gt;1,[1]Calculations!$W52/VLOOKUP(S52,Annual_Inputs,3,FALSE)/$Y$21*Z$21,0)))</f>
        <v>0</v>
      </c>
      <c r="AA52" s="168">
        <f>IF(T52&lt;Year1,,IF(T52&lt;IF(AND(MONTH($N$14)&gt;=10,MONTH($N$14)&lt;=12),YEAR($N$14)+1,YEAR($N$14)),,IF(T52&gt;1,[1]Calculations!$W52/VLOOKUP(T52,Annual_Inputs,3,FALSE)/$Y$21*AA$21,0)))</f>
        <v>0</v>
      </c>
      <c r="AB52" s="168">
        <f>IF(U52&lt;Year1,,IF(U52&lt;IF(AND(MONTH($N$14)&gt;=10,MONTH($N$14)&lt;=12),YEAR($N$14)+1,YEAR($N$14)),,IF(U52&gt;1,[1]Calculations!$W52/VLOOKUP(U52,Annual_Inputs,3,FALSE)/$Y$21*AB$21,0)))</f>
        <v>0</v>
      </c>
      <c r="AC52" s="168">
        <f>IF(V52&lt;Year1,,IF(V52&lt;IF(AND(MONTH($N$14)&gt;=10,MONTH($N$14)&lt;=12),YEAR($N$14)+1,YEAR($N$14)),,IF(V52&gt;1,[1]Calculations!$W52/VLOOKUP(V52,Annual_Inputs,3,FALSE)/$Y$21*AC$21,0)))</f>
        <v>0</v>
      </c>
      <c r="AD52" s="169">
        <f>IF(W52&lt;Year1,,IF(W52&lt;IF(AND(MONTH($N$14)&gt;=10,MONTH($N$14)&lt;=12),YEAR($N$14)+1,YEAR($N$14)),,IF(W52&gt;1,[1]Calculations!$W52/VLOOKUP(W52,Annual_Inputs,3,FALSE)/$Y$21*AD$21,0)))</f>
        <v>0</v>
      </c>
      <c r="AE52" s="170">
        <f t="shared" si="7"/>
        <v>0</v>
      </c>
      <c r="AF52" s="177"/>
      <c r="AG52" s="83"/>
      <c r="AH52" s="83"/>
      <c r="AI52" s="83"/>
    </row>
    <row r="53" spans="1:35" ht="12.75" customHeight="1" thickBot="1" x14ac:dyDescent="0.25">
      <c r="A53" s="84"/>
      <c r="B53" s="88"/>
      <c r="C53" s="90"/>
      <c r="D53" s="90"/>
      <c r="E53" s="331" t="s">
        <v>197</v>
      </c>
      <c r="F53" s="317"/>
      <c r="G53" s="317"/>
      <c r="H53" s="317"/>
      <c r="I53" s="317"/>
      <c r="J53" s="317"/>
      <c r="K53" s="318"/>
      <c r="L53" s="200">
        <v>18</v>
      </c>
      <c r="M53" s="83"/>
      <c r="N53" s="186" t="str">
        <f>[1]Calculations!R53</f>
        <v>2 Timothy</v>
      </c>
      <c r="O53" s="164">
        <f>IF([1]Calculations!T53=1,"",[1]Calculations!T53)</f>
        <v>3</v>
      </c>
      <c r="P53" s="164">
        <f>[1]Calculations!S53</f>
        <v>83</v>
      </c>
      <c r="Q53" s="165"/>
      <c r="R53" s="166"/>
      <c r="S53" s="166"/>
      <c r="T53" s="166"/>
      <c r="U53" s="166"/>
      <c r="V53" s="166"/>
      <c r="W53" s="166"/>
      <c r="X53" s="84"/>
      <c r="Y53" s="167">
        <f>IF(R53&lt;Year1,,IF(R53&lt;IF(AND(MONTH($N$14)&gt;=10,MONTH($N$14)&lt;=12),YEAR($N$14)+1,YEAR($N$14)),,IF(R53&gt;1,[1]Calculations!$W53/VLOOKUP(R53,Annual_Inputs,3,FALSE),)))</f>
        <v>0</v>
      </c>
      <c r="Z53" s="168">
        <f>IF(S53&lt;Year1,,IF(S53&lt;IF(AND(MONTH($N$14)&gt;=10,MONTH($N$14)&lt;=12),YEAR($N$14)+1,YEAR($N$14)),,IF(S53&gt;1,[1]Calculations!$W53/VLOOKUP(S53,Annual_Inputs,3,FALSE)/$Y$21*Z$21,0)))</f>
        <v>0</v>
      </c>
      <c r="AA53" s="168">
        <f>IF(T53&lt;Year1,,IF(T53&lt;IF(AND(MONTH($N$14)&gt;=10,MONTH($N$14)&lt;=12),YEAR($N$14)+1,YEAR($N$14)),,IF(T53&gt;1,[1]Calculations!$W53/VLOOKUP(T53,Annual_Inputs,3,FALSE)/$Y$21*AA$21,0)))</f>
        <v>0</v>
      </c>
      <c r="AB53" s="168">
        <f>IF(U53&lt;Year1,,IF(U53&lt;IF(AND(MONTH($N$14)&gt;=10,MONTH($N$14)&lt;=12),YEAR($N$14)+1,YEAR($N$14)),,IF(U53&gt;1,[1]Calculations!$W53/VLOOKUP(U53,Annual_Inputs,3,FALSE)/$Y$21*AB$21,0)))</f>
        <v>0</v>
      </c>
      <c r="AC53" s="168">
        <f>IF(V53&lt;Year1,,IF(V53&lt;IF(AND(MONTH($N$14)&gt;=10,MONTH($N$14)&lt;=12),YEAR($N$14)+1,YEAR($N$14)),,IF(V53&gt;1,[1]Calculations!$W53/VLOOKUP(V53,Annual_Inputs,3,FALSE)/$Y$21*AC$21,0)))</f>
        <v>0</v>
      </c>
      <c r="AD53" s="169">
        <f>IF(W53&lt;Year1,,IF(W53&lt;IF(AND(MONTH($N$14)&gt;=10,MONTH($N$14)&lt;=12),YEAR($N$14)+1,YEAR($N$14)),,IF(W53&gt;1,[1]Calculations!$W53/VLOOKUP(W53,Annual_Inputs,3,FALSE)/$Y$21*AD$21,0)))</f>
        <v>0</v>
      </c>
      <c r="AE53" s="170">
        <f t="shared" si="7"/>
        <v>0</v>
      </c>
      <c r="AF53" s="177"/>
      <c r="AG53" s="83"/>
      <c r="AH53" s="83"/>
      <c r="AI53" s="83"/>
    </row>
    <row r="54" spans="1:35" ht="12.75" customHeight="1" thickBot="1" x14ac:dyDescent="0.25">
      <c r="A54" s="84"/>
      <c r="B54" s="88"/>
      <c r="C54" s="90"/>
      <c r="D54" s="90"/>
      <c r="E54" s="332" t="s">
        <v>198</v>
      </c>
      <c r="F54" s="329"/>
      <c r="G54" s="329"/>
      <c r="H54" s="329"/>
      <c r="I54" s="329"/>
      <c r="J54" s="329"/>
      <c r="K54" s="330"/>
      <c r="L54" s="201">
        <f>VE/L55</f>
        <v>1296</v>
      </c>
      <c r="M54" s="83"/>
      <c r="N54" s="186" t="str">
        <f>[1]Calculations!R54</f>
        <v>Titus</v>
      </c>
      <c r="O54" s="164">
        <f>IF([1]Calculations!T54=1,"",[1]Calculations!T54)</f>
        <v>3</v>
      </c>
      <c r="P54" s="164">
        <f>[1]Calculations!S54</f>
        <v>46</v>
      </c>
      <c r="Q54" s="165"/>
      <c r="R54" s="166"/>
      <c r="S54" s="166"/>
      <c r="T54" s="166"/>
      <c r="U54" s="166"/>
      <c r="V54" s="166"/>
      <c r="W54" s="166"/>
      <c r="X54" s="84"/>
      <c r="Y54" s="167">
        <f>IF(R54&lt;Year1,,IF(R54&lt;IF(AND(MONTH($N$14)&gt;=10,MONTH($N$14)&lt;=12),YEAR($N$14)+1,YEAR($N$14)),,IF(R54&gt;1,[1]Calculations!$W54/VLOOKUP(R54,Annual_Inputs,3,FALSE),)))</f>
        <v>0</v>
      </c>
      <c r="Z54" s="168">
        <f>IF(S54&lt;Year1,,IF(S54&lt;IF(AND(MONTH($N$14)&gt;=10,MONTH($N$14)&lt;=12),YEAR($N$14)+1,YEAR($N$14)),,IF(S54&gt;1,[1]Calculations!$W54/VLOOKUP(S54,Annual_Inputs,3,FALSE)/$Y$21*Z$21,0)))</f>
        <v>0</v>
      </c>
      <c r="AA54" s="168">
        <f>IF(T54&lt;Year1,,IF(T54&lt;IF(AND(MONTH($N$14)&gt;=10,MONTH($N$14)&lt;=12),YEAR($N$14)+1,YEAR($N$14)),,IF(T54&gt;1,[1]Calculations!$W54/VLOOKUP(T54,Annual_Inputs,3,FALSE)/$Y$21*AA$21,0)))</f>
        <v>0</v>
      </c>
      <c r="AB54" s="168">
        <f>IF(U54&lt;Year1,,IF(U54&lt;IF(AND(MONTH($N$14)&gt;=10,MONTH($N$14)&lt;=12),YEAR($N$14)+1,YEAR($N$14)),,IF(U54&gt;1,[1]Calculations!$W54/VLOOKUP(U54,Annual_Inputs,3,FALSE)/$Y$21*AB$21,0)))</f>
        <v>0</v>
      </c>
      <c r="AC54" s="168">
        <f>IF(V54&lt;Year1,,IF(V54&lt;IF(AND(MONTH($N$14)&gt;=10,MONTH($N$14)&lt;=12),YEAR($N$14)+1,YEAR($N$14)),,IF(V54&gt;1,[1]Calculations!$W54/VLOOKUP(V54,Annual_Inputs,3,FALSE)/$Y$21*AC$21,0)))</f>
        <v>0</v>
      </c>
      <c r="AD54" s="169">
        <f>IF(W54&lt;Year1,,IF(W54&lt;IF(AND(MONTH($N$14)&gt;=10,MONTH($N$14)&lt;=12),YEAR($N$14)+1,YEAR($N$14)),,IF(W54&gt;1,[1]Calculations!$W54/VLOOKUP(W54,Annual_Inputs,3,FALSE)/$Y$21*AD$21,0)))</f>
        <v>0</v>
      </c>
      <c r="AE54" s="170">
        <f t="shared" si="7"/>
        <v>0</v>
      </c>
      <c r="AF54" s="177"/>
      <c r="AG54" s="83"/>
      <c r="AH54" s="83"/>
      <c r="AI54" s="83"/>
    </row>
    <row r="55" spans="1:35" ht="12.75" customHeight="1" thickBot="1" x14ac:dyDescent="0.25">
      <c r="A55" s="84"/>
      <c r="B55" s="88"/>
      <c r="C55" s="90"/>
      <c r="D55" s="90"/>
      <c r="E55" s="332" t="s">
        <v>199</v>
      </c>
      <c r="F55" s="329"/>
      <c r="G55" s="329"/>
      <c r="H55" s="329"/>
      <c r="I55" s="329"/>
      <c r="J55" s="329"/>
      <c r="K55" s="330"/>
      <c r="L55" s="202">
        <f>IF(ISERROR([1]Calculations!W89/L53/R21/L52),"",[1]Calculations!W89/L53/R21/L52)</f>
        <v>3.0360725308641974</v>
      </c>
      <c r="M55" s="83"/>
      <c r="N55" s="186" t="str">
        <f>[1]Calculations!R55</f>
        <v>Philemon</v>
      </c>
      <c r="O55" s="164">
        <f>IF([1]Calculations!T55=1,"",[1]Calculations!T55)</f>
        <v>3</v>
      </c>
      <c r="P55" s="164">
        <f>[1]Calculations!S55</f>
        <v>25</v>
      </c>
      <c r="Q55" s="165"/>
      <c r="R55" s="166"/>
      <c r="S55" s="166"/>
      <c r="T55" s="166"/>
      <c r="U55" s="166"/>
      <c r="V55" s="166"/>
      <c r="W55" s="166"/>
      <c r="X55" s="84"/>
      <c r="Y55" s="167">
        <f>IF(R55&lt;Year1,,IF(R55&lt;IF(AND(MONTH($N$14)&gt;=10,MONTH($N$14)&lt;=12),YEAR($N$14)+1,YEAR($N$14)),,IF(R55&gt;1,[1]Calculations!$W55/VLOOKUP(R55,Annual_Inputs,3,FALSE),)))</f>
        <v>0</v>
      </c>
      <c r="Z55" s="168">
        <f>IF(S55&lt;Year1,,IF(S55&lt;IF(AND(MONTH($N$14)&gt;=10,MONTH($N$14)&lt;=12),YEAR($N$14)+1,YEAR($N$14)),,IF(S55&gt;1,[1]Calculations!$W55/VLOOKUP(S55,Annual_Inputs,3,FALSE)/$Y$21*Z$21,0)))</f>
        <v>0</v>
      </c>
      <c r="AA55" s="168">
        <f>IF(T55&lt;Year1,,IF(T55&lt;IF(AND(MONTH($N$14)&gt;=10,MONTH($N$14)&lt;=12),YEAR($N$14)+1,YEAR($N$14)),,IF(T55&gt;1,[1]Calculations!$W55/VLOOKUP(T55,Annual_Inputs,3,FALSE)/$Y$21*AA$21,0)))</f>
        <v>0</v>
      </c>
      <c r="AB55" s="168">
        <f>IF(U55&lt;Year1,,IF(U55&lt;IF(AND(MONTH($N$14)&gt;=10,MONTH($N$14)&lt;=12),YEAR($N$14)+1,YEAR($N$14)),,IF(U55&gt;1,[1]Calculations!$W55/VLOOKUP(U55,Annual_Inputs,3,FALSE)/$Y$21*AB$21,0)))</f>
        <v>0</v>
      </c>
      <c r="AC55" s="168">
        <f>IF(V55&lt;Year1,,IF(V55&lt;IF(AND(MONTH($N$14)&gt;=10,MONTH($N$14)&lt;=12),YEAR($N$14)+1,YEAR($N$14)),,IF(V55&gt;1,[1]Calculations!$W55/VLOOKUP(V55,Annual_Inputs,3,FALSE)/$Y$21*AC$21,0)))</f>
        <v>0</v>
      </c>
      <c r="AD55" s="169">
        <f>IF(W55&lt;Year1,,IF(W55&lt;IF(AND(MONTH($N$14)&gt;=10,MONTH($N$14)&lt;=12),YEAR($N$14)+1,YEAR($N$14)),,IF(W55&gt;1,[1]Calculations!$W55/VLOOKUP(W55,Annual_Inputs,3,FALSE)/$Y$21*AD$21,0)))</f>
        <v>0</v>
      </c>
      <c r="AE55" s="170">
        <f t="shared" si="7"/>
        <v>0</v>
      </c>
      <c r="AF55" s="177"/>
      <c r="AG55" s="83"/>
      <c r="AH55" s="83"/>
      <c r="AI55" s="83"/>
    </row>
    <row r="56" spans="1:35" ht="12.75" customHeight="1" x14ac:dyDescent="0.2">
      <c r="A56" s="84"/>
      <c r="B56" s="88"/>
      <c r="C56" s="90"/>
      <c r="D56" s="90"/>
      <c r="E56" s="203"/>
      <c r="F56" s="333"/>
      <c r="G56" s="334"/>
      <c r="H56" s="83"/>
      <c r="I56" s="83"/>
      <c r="J56" s="83"/>
      <c r="K56" s="83"/>
      <c r="L56" s="83"/>
      <c r="M56" s="83"/>
      <c r="N56" s="186" t="str">
        <f>[1]Calculations!R56</f>
        <v>Hebrews</v>
      </c>
      <c r="O56" s="164">
        <f>IF([1]Calculations!T56=1,"",[1]Calculations!T56)</f>
        <v>5</v>
      </c>
      <c r="P56" s="164">
        <f>[1]Calculations!S56</f>
        <v>303</v>
      </c>
      <c r="Q56" s="165"/>
      <c r="R56" s="166"/>
      <c r="S56" s="166"/>
      <c r="T56" s="166"/>
      <c r="U56" s="166"/>
      <c r="V56" s="166"/>
      <c r="W56" s="166"/>
      <c r="X56" s="84"/>
      <c r="Y56" s="167">
        <f>IF(R56&lt;Year1,,IF(R56&lt;IF(AND(MONTH($N$14)&gt;=10,MONTH($N$14)&lt;=12),YEAR($N$14)+1,YEAR($N$14)),,IF(R56&gt;1,[1]Calculations!$W56/VLOOKUP(R56,Annual_Inputs,3,FALSE),)))</f>
        <v>0</v>
      </c>
      <c r="Z56" s="168">
        <f>IF(S56&lt;Year1,,IF(S56&lt;IF(AND(MONTH($N$14)&gt;=10,MONTH($N$14)&lt;=12),YEAR($N$14)+1,YEAR($N$14)),,IF(S56&gt;1,[1]Calculations!$W56/VLOOKUP(S56,Annual_Inputs,3,FALSE)/$Y$21*Z$21,0)))</f>
        <v>0</v>
      </c>
      <c r="AA56" s="168">
        <f>IF(T56&lt;Year1,,IF(T56&lt;IF(AND(MONTH($N$14)&gt;=10,MONTH($N$14)&lt;=12),YEAR($N$14)+1,YEAR($N$14)),,IF(T56&gt;1,[1]Calculations!$W56/VLOOKUP(T56,Annual_Inputs,3,FALSE)/$Y$21*AA$21,0)))</f>
        <v>0</v>
      </c>
      <c r="AB56" s="168">
        <f>IF(U56&lt;Year1,,IF(U56&lt;IF(AND(MONTH($N$14)&gt;=10,MONTH($N$14)&lt;=12),YEAR($N$14)+1,YEAR($N$14)),,IF(U56&gt;1,[1]Calculations!$W56/VLOOKUP(U56,Annual_Inputs,3,FALSE)/$Y$21*AB$21,0)))</f>
        <v>0</v>
      </c>
      <c r="AC56" s="168">
        <f>IF(V56&lt;Year1,,IF(V56&lt;IF(AND(MONTH($N$14)&gt;=10,MONTH($N$14)&lt;=12),YEAR($N$14)+1,YEAR($N$14)),,IF(V56&gt;1,[1]Calculations!$W56/VLOOKUP(V56,Annual_Inputs,3,FALSE)/$Y$21*AC$21,0)))</f>
        <v>0</v>
      </c>
      <c r="AD56" s="169">
        <f>IF(W56&lt;Year1,,IF(W56&lt;IF(AND(MONTH($N$14)&gt;=10,MONTH($N$14)&lt;=12),YEAR($N$14)+1,YEAR($N$14)),,IF(W56&gt;1,[1]Calculations!$W56/VLOOKUP(W56,Annual_Inputs,3,FALSE)/$Y$21*AD$21,0)))</f>
        <v>0</v>
      </c>
      <c r="AE56" s="170">
        <f t="shared" si="7"/>
        <v>0</v>
      </c>
      <c r="AF56" s="177"/>
      <c r="AG56" s="83"/>
      <c r="AH56" s="83"/>
      <c r="AI56" s="83"/>
    </row>
    <row r="57" spans="1:35" ht="12.75" customHeight="1" x14ac:dyDescent="0.2">
      <c r="A57" s="84"/>
      <c r="B57" s="88"/>
      <c r="C57" s="90"/>
      <c r="D57" s="90"/>
      <c r="E57" s="204"/>
      <c r="F57" s="205"/>
      <c r="G57" s="206"/>
      <c r="H57" s="206"/>
      <c r="I57" s="153"/>
      <c r="J57" s="206"/>
      <c r="K57" s="206"/>
      <c r="L57" s="206"/>
      <c r="M57" s="83"/>
      <c r="N57" s="186" t="str">
        <f>[1]Calculations!R57</f>
        <v>James</v>
      </c>
      <c r="O57" s="164">
        <f>IF([1]Calculations!T57=1,"",[1]Calculations!T57)</f>
        <v>3</v>
      </c>
      <c r="P57" s="164">
        <f>[1]Calculations!S57</f>
        <v>108</v>
      </c>
      <c r="Q57" s="165"/>
      <c r="R57" s="166"/>
      <c r="S57" s="166"/>
      <c r="T57" s="166"/>
      <c r="U57" s="166"/>
      <c r="V57" s="166"/>
      <c r="W57" s="166"/>
      <c r="X57" s="84"/>
      <c r="Y57" s="167">
        <f>IF(R57&lt;Year1,,IF(R57&lt;IF(AND(MONTH($N$14)&gt;=10,MONTH($N$14)&lt;=12),YEAR($N$14)+1,YEAR($N$14)),,IF(R57&gt;1,[1]Calculations!$W57/VLOOKUP(R57,Annual_Inputs,3,FALSE),)))</f>
        <v>0</v>
      </c>
      <c r="Z57" s="168">
        <f>IF(S57&lt;Year1,,IF(S57&lt;IF(AND(MONTH($N$14)&gt;=10,MONTH($N$14)&lt;=12),YEAR($N$14)+1,YEAR($N$14)),,IF(S57&gt;1,[1]Calculations!$W57/VLOOKUP(S57,Annual_Inputs,3,FALSE)/$Y$21*Z$21,0)))</f>
        <v>0</v>
      </c>
      <c r="AA57" s="168">
        <f>IF(T57&lt;Year1,,IF(T57&lt;IF(AND(MONTH($N$14)&gt;=10,MONTH($N$14)&lt;=12),YEAR($N$14)+1,YEAR($N$14)),,IF(T57&gt;1,[1]Calculations!$W57/VLOOKUP(T57,Annual_Inputs,3,FALSE)/$Y$21*AA$21,0)))</f>
        <v>0</v>
      </c>
      <c r="AB57" s="168">
        <f>IF(U57&lt;Year1,,IF(U57&lt;IF(AND(MONTH($N$14)&gt;=10,MONTH($N$14)&lt;=12),YEAR($N$14)+1,YEAR($N$14)),,IF(U57&gt;1,[1]Calculations!$W57/VLOOKUP(U57,Annual_Inputs,3,FALSE)/$Y$21*AB$21,0)))</f>
        <v>0</v>
      </c>
      <c r="AC57" s="168">
        <f>IF(V57&lt;Year1,,IF(V57&lt;IF(AND(MONTH($N$14)&gt;=10,MONTH($N$14)&lt;=12),YEAR($N$14)+1,YEAR($N$14)),,IF(V57&gt;1,[1]Calculations!$W57/VLOOKUP(V57,Annual_Inputs,3,FALSE)/$Y$21*AC$21,0)))</f>
        <v>0</v>
      </c>
      <c r="AD57" s="169">
        <f>IF(W57&lt;Year1,,IF(W57&lt;IF(AND(MONTH($N$14)&gt;=10,MONTH($N$14)&lt;=12),YEAR($N$14)+1,YEAR($N$14)),,IF(W57&gt;1,[1]Calculations!$W57/VLOOKUP(W57,Annual_Inputs,3,FALSE)/$Y$21*AD$21,0)))</f>
        <v>0</v>
      </c>
      <c r="AE57" s="170">
        <f t="shared" si="7"/>
        <v>0</v>
      </c>
      <c r="AF57" s="177"/>
      <c r="AG57" s="83"/>
      <c r="AH57" s="83"/>
      <c r="AI57" s="83"/>
    </row>
    <row r="58" spans="1:35" ht="12.75" customHeight="1" x14ac:dyDescent="0.2">
      <c r="A58" s="84"/>
      <c r="B58" s="88"/>
      <c r="C58" s="90"/>
      <c r="D58" s="90"/>
      <c r="E58" s="204"/>
      <c r="F58" s="205"/>
      <c r="G58" s="206"/>
      <c r="H58" s="206"/>
      <c r="I58" s="153"/>
      <c r="J58" s="206"/>
      <c r="K58" s="206"/>
      <c r="L58" s="206"/>
      <c r="M58" s="83"/>
      <c r="N58" s="186" t="str">
        <f>[1]Calculations!R58</f>
        <v>1 Peter</v>
      </c>
      <c r="O58" s="164">
        <f>IF([1]Calculations!T58=1,"",[1]Calculations!T58)</f>
        <v>4</v>
      </c>
      <c r="P58" s="164">
        <f>[1]Calculations!S58</f>
        <v>105</v>
      </c>
      <c r="Q58" s="165"/>
      <c r="R58" s="166"/>
      <c r="S58" s="166"/>
      <c r="T58" s="166"/>
      <c r="U58" s="166"/>
      <c r="V58" s="166"/>
      <c r="W58" s="166"/>
      <c r="X58" s="84"/>
      <c r="Y58" s="167">
        <f>IF(R58&lt;Year1,,IF(R58&lt;IF(AND(MONTH($N$14)&gt;=10,MONTH($N$14)&lt;=12),YEAR($N$14)+1,YEAR($N$14)),,IF(R58&gt;1,[1]Calculations!$W58/VLOOKUP(R58,Annual_Inputs,3,FALSE),)))</f>
        <v>0</v>
      </c>
      <c r="Z58" s="168">
        <f>IF(S58&lt;Year1,,IF(S58&lt;IF(AND(MONTH($N$14)&gt;=10,MONTH($N$14)&lt;=12),YEAR($N$14)+1,YEAR($N$14)),,IF(S58&gt;1,[1]Calculations!$W58/VLOOKUP(S58,Annual_Inputs,3,FALSE)/$Y$21*Z$21,0)))</f>
        <v>0</v>
      </c>
      <c r="AA58" s="168">
        <f>IF(T58&lt;Year1,,IF(T58&lt;IF(AND(MONTH($N$14)&gt;=10,MONTH($N$14)&lt;=12),YEAR($N$14)+1,YEAR($N$14)),,IF(T58&gt;1,[1]Calculations!$W58/VLOOKUP(T58,Annual_Inputs,3,FALSE)/$Y$21*AA$21,0)))</f>
        <v>0</v>
      </c>
      <c r="AB58" s="168">
        <f>IF(U58&lt;Year1,,IF(U58&lt;IF(AND(MONTH($N$14)&gt;=10,MONTH($N$14)&lt;=12),YEAR($N$14)+1,YEAR($N$14)),,IF(U58&gt;1,[1]Calculations!$W58/VLOOKUP(U58,Annual_Inputs,3,FALSE)/$Y$21*AB$21,0)))</f>
        <v>0</v>
      </c>
      <c r="AC58" s="168">
        <f>IF(V58&lt;Year1,,IF(V58&lt;IF(AND(MONTH($N$14)&gt;=10,MONTH($N$14)&lt;=12),YEAR($N$14)+1,YEAR($N$14)),,IF(V58&gt;1,[1]Calculations!$W58/VLOOKUP(V58,Annual_Inputs,3,FALSE)/$Y$21*AC$21,0)))</f>
        <v>0</v>
      </c>
      <c r="AD58" s="169">
        <f>IF(W58&lt;Year1,,IF(W58&lt;IF(AND(MONTH($N$14)&gt;=10,MONTH($N$14)&lt;=12),YEAR($N$14)+1,YEAR($N$14)),,IF(W58&gt;1,[1]Calculations!$W58/VLOOKUP(W58,Annual_Inputs,3,FALSE)/$Y$21*AD$21,0)))</f>
        <v>0</v>
      </c>
      <c r="AE58" s="170">
        <f t="shared" si="7"/>
        <v>0</v>
      </c>
      <c r="AF58" s="177"/>
      <c r="AG58" s="83"/>
      <c r="AH58" s="83"/>
      <c r="AI58" s="83"/>
    </row>
    <row r="59" spans="1:35" ht="12.75" customHeight="1" x14ac:dyDescent="0.2">
      <c r="A59" s="84"/>
      <c r="B59" s="88"/>
      <c r="C59" s="90"/>
      <c r="D59" s="90"/>
      <c r="E59" s="204"/>
      <c r="F59" s="205"/>
      <c r="G59" s="206"/>
      <c r="H59" s="206"/>
      <c r="I59" s="153"/>
      <c r="J59" s="206"/>
      <c r="K59" s="206"/>
      <c r="L59" s="206"/>
      <c r="M59" s="83"/>
      <c r="N59" s="186" t="str">
        <f>[1]Calculations!R59</f>
        <v>2 Peter</v>
      </c>
      <c r="O59" s="164">
        <f>IF([1]Calculations!T59=1,"",[1]Calculations!T59)</f>
        <v>4</v>
      </c>
      <c r="P59" s="164">
        <f>[1]Calculations!S59</f>
        <v>61</v>
      </c>
      <c r="Q59" s="165"/>
      <c r="R59" s="166"/>
      <c r="S59" s="166"/>
      <c r="T59" s="166"/>
      <c r="U59" s="166"/>
      <c r="V59" s="166"/>
      <c r="W59" s="166"/>
      <c r="X59" s="84"/>
      <c r="Y59" s="167">
        <f>IF(R59&lt;Year1,,IF(R59&lt;IF(AND(MONTH($N$14)&gt;=10,MONTH($N$14)&lt;=12),YEAR($N$14)+1,YEAR($N$14)),,IF(R59&gt;1,[1]Calculations!$W59/VLOOKUP(R59,Annual_Inputs,3,FALSE),)))</f>
        <v>0</v>
      </c>
      <c r="Z59" s="168">
        <f>IF(S59&lt;Year1,,IF(S59&lt;IF(AND(MONTH($N$14)&gt;=10,MONTH($N$14)&lt;=12),YEAR($N$14)+1,YEAR($N$14)),,IF(S59&gt;1,[1]Calculations!$W59/VLOOKUP(S59,Annual_Inputs,3,FALSE)/$Y$21*Z$21,0)))</f>
        <v>0</v>
      </c>
      <c r="AA59" s="168">
        <f>IF(T59&lt;Year1,,IF(T59&lt;IF(AND(MONTH($N$14)&gt;=10,MONTH($N$14)&lt;=12),YEAR($N$14)+1,YEAR($N$14)),,IF(T59&gt;1,[1]Calculations!$W59/VLOOKUP(T59,Annual_Inputs,3,FALSE)/$Y$21*AA$21,0)))</f>
        <v>0</v>
      </c>
      <c r="AB59" s="168">
        <f>IF(U59&lt;Year1,,IF(U59&lt;IF(AND(MONTH($N$14)&gt;=10,MONTH($N$14)&lt;=12),YEAR($N$14)+1,YEAR($N$14)),,IF(U59&gt;1,[1]Calculations!$W59/VLOOKUP(U59,Annual_Inputs,3,FALSE)/$Y$21*AB$21,0)))</f>
        <v>0</v>
      </c>
      <c r="AC59" s="168">
        <f>IF(V59&lt;Year1,,IF(V59&lt;IF(AND(MONTH($N$14)&gt;=10,MONTH($N$14)&lt;=12),YEAR($N$14)+1,YEAR($N$14)),,IF(V59&gt;1,[1]Calculations!$W59/VLOOKUP(V59,Annual_Inputs,3,FALSE)/$Y$21*AC$21,0)))</f>
        <v>0</v>
      </c>
      <c r="AD59" s="169">
        <f>IF(W59&lt;Year1,,IF(W59&lt;IF(AND(MONTH($N$14)&gt;=10,MONTH($N$14)&lt;=12),YEAR($N$14)+1,YEAR($N$14)),,IF(W59&gt;1,[1]Calculations!$W59/VLOOKUP(W59,Annual_Inputs,3,FALSE)/$Y$21*AD$21,0)))</f>
        <v>0</v>
      </c>
      <c r="AE59" s="170">
        <f t="shared" si="7"/>
        <v>0</v>
      </c>
      <c r="AF59" s="177"/>
      <c r="AG59" s="83"/>
      <c r="AH59" s="83"/>
      <c r="AI59" s="83"/>
    </row>
    <row r="60" spans="1:35" x14ac:dyDescent="0.2">
      <c r="A60" s="84"/>
      <c r="B60" s="88"/>
      <c r="C60" s="90"/>
      <c r="D60" s="90"/>
      <c r="E60" s="204"/>
      <c r="F60" s="206"/>
      <c r="G60" s="206"/>
      <c r="H60" s="206"/>
      <c r="I60" s="153"/>
      <c r="J60" s="206"/>
      <c r="K60" s="206"/>
      <c r="L60" s="206"/>
      <c r="M60" s="83"/>
      <c r="N60" s="186" t="str">
        <f>[1]Calculations!R60</f>
        <v>1 John</v>
      </c>
      <c r="O60" s="164">
        <f>IF([1]Calculations!T60=1,"",[1]Calculations!T60)</f>
        <v>4</v>
      </c>
      <c r="P60" s="164">
        <f>[1]Calculations!S60</f>
        <v>105</v>
      </c>
      <c r="Q60" s="165"/>
      <c r="R60" s="166"/>
      <c r="S60" s="166"/>
      <c r="T60" s="166"/>
      <c r="U60" s="166"/>
      <c r="V60" s="166"/>
      <c r="W60" s="166"/>
      <c r="X60" s="84"/>
      <c r="Y60" s="167">
        <f>IF(R60&lt;Year1,,IF(R60&lt;IF(AND(MONTH($N$14)&gt;=10,MONTH($N$14)&lt;=12),YEAR($N$14)+1,YEAR($N$14)),,IF(R60&gt;1,[1]Calculations!$W60/VLOOKUP(R60,Annual_Inputs,3,FALSE),)))</f>
        <v>0</v>
      </c>
      <c r="Z60" s="168">
        <f>IF(S60&lt;Year1,,IF(S60&lt;IF(AND(MONTH($N$14)&gt;=10,MONTH($N$14)&lt;=12),YEAR($N$14)+1,YEAR($N$14)),,IF(S60&gt;1,[1]Calculations!$W60/VLOOKUP(S60,Annual_Inputs,3,FALSE)/$Y$21*Z$21,0)))</f>
        <v>0</v>
      </c>
      <c r="AA60" s="168">
        <f>IF(T60&lt;Year1,,IF(T60&lt;IF(AND(MONTH($N$14)&gt;=10,MONTH($N$14)&lt;=12),YEAR($N$14)+1,YEAR($N$14)),,IF(T60&gt;1,[1]Calculations!$W60/VLOOKUP(T60,Annual_Inputs,3,FALSE)/$Y$21*AA$21,0)))</f>
        <v>0</v>
      </c>
      <c r="AB60" s="168">
        <f>IF(U60&lt;Year1,,IF(U60&lt;IF(AND(MONTH($N$14)&gt;=10,MONTH($N$14)&lt;=12),YEAR($N$14)+1,YEAR($N$14)),,IF(U60&gt;1,[1]Calculations!$W60/VLOOKUP(U60,Annual_Inputs,3,FALSE)/$Y$21*AB$21,0)))</f>
        <v>0</v>
      </c>
      <c r="AC60" s="168">
        <f>IF(V60&lt;Year1,,IF(V60&lt;IF(AND(MONTH($N$14)&gt;=10,MONTH($N$14)&lt;=12),YEAR($N$14)+1,YEAR($N$14)),,IF(V60&gt;1,[1]Calculations!$W60/VLOOKUP(V60,Annual_Inputs,3,FALSE)/$Y$21*AC$21,0)))</f>
        <v>0</v>
      </c>
      <c r="AD60" s="169">
        <f>IF(W60&lt;Year1,,IF(W60&lt;IF(AND(MONTH($N$14)&gt;=10,MONTH($N$14)&lt;=12),YEAR($N$14)+1,YEAR($N$14)),,IF(W60&gt;1,[1]Calculations!$W60/VLOOKUP(W60,Annual_Inputs,3,FALSE)/$Y$21*AD$21,0)))</f>
        <v>0</v>
      </c>
      <c r="AE60" s="170">
        <f t="shared" si="7"/>
        <v>0</v>
      </c>
      <c r="AF60" s="177"/>
      <c r="AG60" s="83"/>
      <c r="AH60" s="83"/>
      <c r="AI60" s="83"/>
    </row>
    <row r="61" spans="1:35" ht="12.75" customHeight="1" x14ac:dyDescent="0.2">
      <c r="A61" s="84"/>
      <c r="B61" s="88"/>
      <c r="C61" s="90"/>
      <c r="D61" s="90"/>
      <c r="E61" s="204"/>
      <c r="F61" s="206"/>
      <c r="G61" s="206"/>
      <c r="H61" s="206"/>
      <c r="I61" s="153"/>
      <c r="J61" s="206"/>
      <c r="K61" s="206"/>
      <c r="L61" s="206"/>
      <c r="M61" s="83"/>
      <c r="N61" s="186" t="str">
        <f>[1]Calculations!R61</f>
        <v>2 John</v>
      </c>
      <c r="O61" s="164">
        <f>IF([1]Calculations!T61=1,"",[1]Calculations!T61)</f>
        <v>3</v>
      </c>
      <c r="P61" s="164">
        <f>[1]Calculations!S61</f>
        <v>13</v>
      </c>
      <c r="Q61" s="165"/>
      <c r="R61" s="166"/>
      <c r="S61" s="166"/>
      <c r="T61" s="166"/>
      <c r="U61" s="166"/>
      <c r="V61" s="166"/>
      <c r="W61" s="166"/>
      <c r="X61" s="84"/>
      <c r="Y61" s="179">
        <f>IF(R61&lt;Year1,,IF(R61&lt;IF(AND(MONTH($N$14)&gt;=10,MONTH($N$14)&lt;=12),YEAR($N$14)+1,YEAR($N$14)),,IF(R61&gt;1,[1]Calculations!$W61/VLOOKUP(R61,Annual_Inputs,3,FALSE),)))</f>
        <v>0</v>
      </c>
      <c r="Z61" s="168">
        <f>IF(S61&lt;Year1,,IF(S61&lt;IF(AND(MONTH($N$14)&gt;=10,MONTH($N$14)&lt;=12),YEAR($N$14)+1,YEAR($N$14)),,IF(S61&gt;1,[1]Calculations!$W61/VLOOKUP(S61,Annual_Inputs,3,FALSE)/$Y$21*Z$21,0)))</f>
        <v>0</v>
      </c>
      <c r="AA61" s="168">
        <f>IF(T61&lt;Year1,,IF(T61&lt;IF(AND(MONTH($N$14)&gt;=10,MONTH($N$14)&lt;=12),YEAR($N$14)+1,YEAR($N$14)),,IF(T61&gt;1,[1]Calculations!$W61/VLOOKUP(T61,Annual_Inputs,3,FALSE)/$Y$21*AA$21,0)))</f>
        <v>0</v>
      </c>
      <c r="AB61" s="168">
        <f>IF(U61&lt;Year1,,IF(U61&lt;IF(AND(MONTH($N$14)&gt;=10,MONTH($N$14)&lt;=12),YEAR($N$14)+1,YEAR($N$14)),,IF(U61&gt;1,[1]Calculations!$W61/VLOOKUP(U61,Annual_Inputs,3,FALSE)/$Y$21*AB$21,0)))</f>
        <v>0</v>
      </c>
      <c r="AC61" s="168">
        <f>IF(V61&lt;Year1,,IF(V61&lt;IF(AND(MONTH($N$14)&gt;=10,MONTH($N$14)&lt;=12),YEAR($N$14)+1,YEAR($N$14)),,IF(V61&gt;1,[1]Calculations!$W61/VLOOKUP(V61,Annual_Inputs,3,FALSE)/$Y$21*AC$21,0)))</f>
        <v>0</v>
      </c>
      <c r="AD61" s="169">
        <f>IF(W61&lt;Year1,,IF(W61&lt;IF(AND(MONTH($N$14)&gt;=10,MONTH($N$14)&lt;=12),YEAR($N$14)+1,YEAR($N$14)),,IF(W61&gt;1,[1]Calculations!$W61/VLOOKUP(W61,Annual_Inputs,3,FALSE)/$Y$21*AD$21,0)))</f>
        <v>0</v>
      </c>
      <c r="AE61" s="170">
        <f t="shared" si="7"/>
        <v>0</v>
      </c>
      <c r="AF61" s="177"/>
      <c r="AG61" s="83"/>
      <c r="AH61" s="83"/>
      <c r="AI61" s="83"/>
    </row>
    <row r="62" spans="1:35" ht="13.5" customHeight="1" x14ac:dyDescent="0.2">
      <c r="A62" s="84"/>
      <c r="B62" s="88"/>
      <c r="C62" s="90"/>
      <c r="D62" s="90"/>
      <c r="E62" s="204"/>
      <c r="F62" s="206"/>
      <c r="G62" s="206"/>
      <c r="H62" s="206"/>
      <c r="I62" s="153"/>
      <c r="J62" s="206"/>
      <c r="K62" s="206"/>
      <c r="L62" s="206"/>
      <c r="M62" s="83"/>
      <c r="N62" s="186" t="str">
        <f>[1]Calculations!R62</f>
        <v>3 John</v>
      </c>
      <c r="O62" s="164">
        <f>IF([1]Calculations!T62=1,"",[1]Calculations!T62)</f>
        <v>3</v>
      </c>
      <c r="P62" s="164">
        <f>[1]Calculations!S62</f>
        <v>14</v>
      </c>
      <c r="Q62" s="165"/>
      <c r="R62" s="166"/>
      <c r="S62" s="166"/>
      <c r="T62" s="166"/>
      <c r="U62" s="166"/>
      <c r="V62" s="166"/>
      <c r="W62" s="166"/>
      <c r="X62" s="84"/>
      <c r="Y62" s="167">
        <f>IF(R62&lt;Year1,,IF(R62&lt;IF(AND(MONTH($N$14)&gt;=10,MONTH($N$14)&lt;=12),YEAR($N$14)+1,YEAR($N$14)),,IF(R62&gt;1,[1]Calculations!$W62/VLOOKUP(R62,Annual_Inputs,3,FALSE),)))</f>
        <v>0</v>
      </c>
      <c r="Z62" s="168">
        <f>IF(S62&lt;Year1,,IF(S62&lt;IF(AND(MONTH($N$14)&gt;=10,MONTH($N$14)&lt;=12),YEAR($N$14)+1,YEAR($N$14)),,IF(S62&gt;1,[1]Calculations!$W62/VLOOKUP(S62,Annual_Inputs,3,FALSE)/$Y$21*Z$21,0)))</f>
        <v>0</v>
      </c>
      <c r="AA62" s="168">
        <f>IF(T62&lt;Year1,,IF(T62&lt;IF(AND(MONTH($N$14)&gt;=10,MONTH($N$14)&lt;=12),YEAR($N$14)+1,YEAR($N$14)),,IF(T62&gt;1,[1]Calculations!$W62/VLOOKUP(T62,Annual_Inputs,3,FALSE)/$Y$21*AA$21,0)))</f>
        <v>0</v>
      </c>
      <c r="AB62" s="168">
        <f>IF(U62&lt;Year1,,IF(U62&lt;IF(AND(MONTH($N$14)&gt;=10,MONTH($N$14)&lt;=12),YEAR($N$14)+1,YEAR($N$14)),,IF(U62&gt;1,[1]Calculations!$W62/VLOOKUP(U62,Annual_Inputs,3,FALSE)/$Y$21*AB$21,0)))</f>
        <v>0</v>
      </c>
      <c r="AC62" s="168">
        <f>IF(V62&lt;Year1,,IF(V62&lt;IF(AND(MONTH($N$14)&gt;=10,MONTH($N$14)&lt;=12),YEAR($N$14)+1,YEAR($N$14)),,IF(V62&gt;1,[1]Calculations!$W62/VLOOKUP(V62,Annual_Inputs,3,FALSE)/$Y$21*AC$21,0)))</f>
        <v>0</v>
      </c>
      <c r="AD62" s="169">
        <f>IF(W62&lt;Year1,,IF(W62&lt;IF(AND(MONTH($N$14)&gt;=10,MONTH($N$14)&lt;=12),YEAR($N$14)+1,YEAR($N$14)),,IF(W62&gt;1,[1]Calculations!$W62/VLOOKUP(W62,Annual_Inputs,3,FALSE)/$Y$21*AD$21,0)))</f>
        <v>0</v>
      </c>
      <c r="AE62" s="170">
        <f t="shared" si="7"/>
        <v>0</v>
      </c>
      <c r="AF62" s="177"/>
      <c r="AG62" s="83"/>
      <c r="AH62" s="83"/>
      <c r="AI62" s="83"/>
    </row>
    <row r="63" spans="1:35" ht="13.5" customHeight="1" x14ac:dyDescent="0.2">
      <c r="A63" s="84"/>
      <c r="B63" s="88"/>
      <c r="C63" s="90"/>
      <c r="D63" s="90"/>
      <c r="E63" s="204"/>
      <c r="F63" s="206"/>
      <c r="G63" s="206"/>
      <c r="H63" s="206"/>
      <c r="I63" s="153"/>
      <c r="J63" s="206"/>
      <c r="K63" s="206"/>
      <c r="L63" s="206"/>
      <c r="M63" s="207"/>
      <c r="N63" s="186" t="str">
        <f>[1]Calculations!R63</f>
        <v>Jude</v>
      </c>
      <c r="O63" s="164">
        <f>IF([1]Calculations!T63=1,"",[1]Calculations!T63)</f>
        <v>3</v>
      </c>
      <c r="P63" s="164">
        <f>[1]Calculations!S63</f>
        <v>25</v>
      </c>
      <c r="Q63" s="165"/>
      <c r="R63" s="166"/>
      <c r="S63" s="166"/>
      <c r="T63" s="166"/>
      <c r="U63" s="166"/>
      <c r="V63" s="166"/>
      <c r="W63" s="166"/>
      <c r="X63" s="84"/>
      <c r="Y63" s="167">
        <f>IF(R63&lt;Year1,,IF(R63&lt;IF(AND(MONTH($N$14)&gt;=10,MONTH($N$14)&lt;=12),YEAR($N$14)+1,YEAR($N$14)),,IF(R63&gt;1,[1]Calculations!$W63/VLOOKUP(R63,Annual_Inputs,3,FALSE),)))</f>
        <v>0</v>
      </c>
      <c r="Z63" s="168">
        <f>IF(S63&lt;Year1,,IF(S63&lt;IF(AND(MONTH($N$14)&gt;=10,MONTH($N$14)&lt;=12),YEAR($N$14)+1,YEAR($N$14)),,IF(S63&gt;1,[1]Calculations!$W63/VLOOKUP(S63,Annual_Inputs,3,FALSE)/$Y$21*Z$21,0)))</f>
        <v>0</v>
      </c>
      <c r="AA63" s="168">
        <f>IF(T63&lt;Year1,,IF(T63&lt;IF(AND(MONTH($N$14)&gt;=10,MONTH($N$14)&lt;=12),YEAR($N$14)+1,YEAR($N$14)),,IF(T63&gt;1,[1]Calculations!$W63/VLOOKUP(T63,Annual_Inputs,3,FALSE)/$Y$21*AA$21,0)))</f>
        <v>0</v>
      </c>
      <c r="AB63" s="168">
        <f>IF(U63&lt;Year1,,IF(U63&lt;IF(AND(MONTH($N$14)&gt;=10,MONTH($N$14)&lt;=12),YEAR($N$14)+1,YEAR($N$14)),,IF(U63&gt;1,[1]Calculations!$W63/VLOOKUP(U63,Annual_Inputs,3,FALSE)/$Y$21*AB$21,0)))</f>
        <v>0</v>
      </c>
      <c r="AC63" s="168">
        <f>IF(V63&lt;Year1,,IF(V63&lt;IF(AND(MONTH($N$14)&gt;=10,MONTH($N$14)&lt;=12),YEAR($N$14)+1,YEAR($N$14)),,IF(V63&gt;1,[1]Calculations!$W63/VLOOKUP(V63,Annual_Inputs,3,FALSE)/$Y$21*AC$21,0)))</f>
        <v>0</v>
      </c>
      <c r="AD63" s="169">
        <f>IF(W63&lt;Year1,,IF(W63&lt;IF(AND(MONTH($N$14)&gt;=10,MONTH($N$14)&lt;=12),YEAR($N$14)+1,YEAR($N$14)),,IF(W63&gt;1,[1]Calculations!$W63/VLOOKUP(W63,Annual_Inputs,3,FALSE)/$Y$21*AD$21,0)))</f>
        <v>0</v>
      </c>
      <c r="AE63" s="170">
        <f t="shared" si="7"/>
        <v>0</v>
      </c>
      <c r="AF63" s="177"/>
      <c r="AG63" s="83"/>
      <c r="AH63" s="83"/>
      <c r="AI63" s="83"/>
    </row>
    <row r="64" spans="1:35" ht="13.5" thickBot="1" x14ac:dyDescent="0.25">
      <c r="A64" s="84"/>
      <c r="B64" s="88"/>
      <c r="C64" s="90"/>
      <c r="D64" s="90"/>
      <c r="E64" s="204"/>
      <c r="F64" s="206"/>
      <c r="G64" s="206"/>
      <c r="H64" s="206"/>
      <c r="I64" s="153"/>
      <c r="J64" s="206"/>
      <c r="K64" s="206"/>
      <c r="L64" s="206"/>
      <c r="M64" s="83"/>
      <c r="N64" s="186" t="str">
        <f>[1]Calculations!R64</f>
        <v>Revelation</v>
      </c>
      <c r="O64" s="164">
        <f>IF([1]Calculations!T64=1,"",[1]Calculations!T64)</f>
        <v>3</v>
      </c>
      <c r="P64" s="164">
        <f>[1]Calculations!S64</f>
        <v>404</v>
      </c>
      <c r="Q64" s="165"/>
      <c r="R64" s="166"/>
      <c r="S64" s="166"/>
      <c r="T64" s="166"/>
      <c r="U64" s="166"/>
      <c r="V64" s="166"/>
      <c r="W64" s="166"/>
      <c r="X64" s="84"/>
      <c r="Y64" s="167">
        <f>IF(R64&lt;Year1,,IF(R64&lt;IF(AND(MONTH($N$14)&gt;=10,MONTH($N$14)&lt;=12),YEAR($N$14)+1,YEAR($N$14)),,IF(R64&gt;1,[1]Calculations!$W64/VLOOKUP(R64,Annual_Inputs,3,FALSE),)))</f>
        <v>0</v>
      </c>
      <c r="Z64" s="168">
        <f>IF(S64&lt;Year1,,IF(S64&lt;IF(AND(MONTH($N$14)&gt;=10,MONTH($N$14)&lt;=12),YEAR($N$14)+1,YEAR($N$14)),,IF(S64&gt;1,[1]Calculations!$W64/VLOOKUP(S64,Annual_Inputs,3,FALSE)/$Y$21*Z$21,0)))</f>
        <v>0</v>
      </c>
      <c r="AA64" s="168">
        <f>IF(T64&lt;Year1,,IF(T64&lt;IF(AND(MONTH($N$14)&gt;=10,MONTH($N$14)&lt;=12),YEAR($N$14)+1,YEAR($N$14)),,IF(T64&gt;1,[1]Calculations!$W64/VLOOKUP(T64,Annual_Inputs,3,FALSE)/$Y$21*AA$21,0)))</f>
        <v>0</v>
      </c>
      <c r="AB64" s="168">
        <f>IF(U64&lt;Year1,,IF(U64&lt;IF(AND(MONTH($N$14)&gt;=10,MONTH($N$14)&lt;=12),YEAR($N$14)+1,YEAR($N$14)),,IF(U64&gt;1,[1]Calculations!$W64/VLOOKUP(U64,Annual_Inputs,3,FALSE)/$Y$21*AB$21,0)))</f>
        <v>0</v>
      </c>
      <c r="AC64" s="168">
        <f>IF(V64&lt;Year1,,IF(V64&lt;IF(AND(MONTH($N$14)&gt;=10,MONTH($N$14)&lt;=12),YEAR($N$14)+1,YEAR($N$14)),,IF(V64&gt;1,[1]Calculations!$W64/VLOOKUP(V64,Annual_Inputs,3,FALSE)/$Y$21*AC$21,0)))</f>
        <v>0</v>
      </c>
      <c r="AD64" s="169">
        <f>IF(W64&lt;Year1,,IF(W64&lt;IF(AND(MONTH($N$14)&gt;=10,MONTH($N$14)&lt;=12),YEAR($N$14)+1,YEAR($N$14)),,IF(W64&gt;1,[1]Calculations!$W64/VLOOKUP(W64,Annual_Inputs,3,FALSE)/$Y$21*AD$21,0)))</f>
        <v>0</v>
      </c>
      <c r="AE64" s="170">
        <f t="shared" si="7"/>
        <v>0</v>
      </c>
      <c r="AF64" s="177"/>
      <c r="AG64" s="83"/>
      <c r="AH64" s="83"/>
      <c r="AI64" s="83"/>
    </row>
    <row r="65" spans="1:35" ht="13.9" hidden="1" thickBot="1" x14ac:dyDescent="0.3">
      <c r="A65" s="84"/>
      <c r="B65" s="88"/>
      <c r="C65" s="90"/>
      <c r="D65" s="90"/>
      <c r="E65" s="204"/>
      <c r="F65" s="206"/>
      <c r="G65" s="206"/>
      <c r="H65" s="206"/>
      <c r="I65" s="153"/>
      <c r="J65" s="206"/>
      <c r="K65" s="206"/>
      <c r="L65" s="206"/>
      <c r="M65" s="83"/>
      <c r="N65" s="208">
        <f>[1]Calculations!R65</f>
        <v>0</v>
      </c>
      <c r="O65" s="164" t="str">
        <f>IF([1]Calculations!T65=1,"",[1]Calculations!T65)</f>
        <v/>
      </c>
      <c r="P65" s="164">
        <f>[1]Calculations!S65</f>
        <v>0</v>
      </c>
      <c r="Q65" s="165">
        <f t="shared" si="9"/>
        <v>0</v>
      </c>
      <c r="R65" s="166"/>
      <c r="S65" s="166"/>
      <c r="T65" s="166"/>
      <c r="U65" s="166"/>
      <c r="V65" s="166"/>
      <c r="W65" s="166"/>
      <c r="X65" s="84"/>
      <c r="Y65" s="167">
        <f>IF(R65&lt;Year1,,IF(R65&lt;IF(AND(MONTH($N$14)&gt;=10,MONTH($N$14)&lt;=12),YEAR($N$14)+1,YEAR($N$14)),,IF(R65&gt;1,[1]Calculations!$W65/VLOOKUP(R65,Annual_Inputs,3,FALSE),)))</f>
        <v>0</v>
      </c>
      <c r="Z65" s="168">
        <f>IF(S65&lt;Year1,,IF(S65&lt;IF(AND(MONTH($N$14)&gt;=10,MONTH($N$14)&lt;=12),YEAR($N$14)+1,YEAR($N$14)),,IF(S65&gt;1,[1]Calculations!$W65/VLOOKUP(S65,Annual_Inputs,3,FALSE)/$Y$21*Z$21,0)))</f>
        <v>0</v>
      </c>
      <c r="AA65" s="168">
        <f>IF(T65&lt;Year1,,IF(T65&lt;IF(AND(MONTH($N$14)&gt;=10,MONTH($N$14)&lt;=12),YEAR($N$14)+1,YEAR($N$14)),,IF(T65&gt;1,[1]Calculations!$W65/VLOOKUP(T65,Annual_Inputs,3,FALSE)/$Y$21*AA$21,0)))</f>
        <v>0</v>
      </c>
      <c r="AB65" s="168">
        <f>IF(U65&lt;Year1,,IF(U65&lt;IF(AND(MONTH($N$14)&gt;=10,MONTH($N$14)&lt;=12),YEAR($N$14)+1,YEAR($N$14)),,IF(U65&gt;1,[1]Calculations!$W65/VLOOKUP(U65,Annual_Inputs,3,FALSE)/$Y$21*AB$21,0)))</f>
        <v>0</v>
      </c>
      <c r="AC65" s="168">
        <f>IF(V65&lt;Year1,,IF(V65&lt;IF(AND(MONTH($N$14)&gt;=10,MONTH($N$14)&lt;=12),YEAR($N$14)+1,YEAR($N$14)),,IF(V65&gt;1,[1]Calculations!$W65/VLOOKUP(V65,Annual_Inputs,3,FALSE)/$Y$21*AC$21,0)))</f>
        <v>0</v>
      </c>
      <c r="AD65" s="169">
        <f>IF(W65&lt;Year1,,IF(W65&lt;IF(AND(MONTH($N$14)&gt;=10,MONTH($N$14)&lt;=12),YEAR($N$14)+1,YEAR($N$14)),,IF(W65&gt;1,[1]Calculations!$W65/VLOOKUP(W65,Annual_Inputs,3,FALSE)/$Y$21*AD$21,0)))</f>
        <v>0</v>
      </c>
      <c r="AE65" s="170">
        <f t="shared" si="7"/>
        <v>0</v>
      </c>
      <c r="AF65" s="177"/>
      <c r="AG65" s="83"/>
      <c r="AH65" s="83"/>
      <c r="AI65" s="83"/>
    </row>
    <row r="66" spans="1:35" ht="13.9" hidden="1" thickBot="1" x14ac:dyDescent="0.3">
      <c r="A66" s="84"/>
      <c r="B66" s="88"/>
      <c r="C66" s="90"/>
      <c r="D66" s="90"/>
      <c r="E66" s="204"/>
      <c r="F66" s="205"/>
      <c r="G66" s="206"/>
      <c r="H66" s="206"/>
      <c r="I66" s="153"/>
      <c r="J66" s="206"/>
      <c r="K66" s="206"/>
      <c r="L66" s="206"/>
      <c r="M66" s="83"/>
      <c r="N66" s="208">
        <f>[1]Calculations!R66</f>
        <v>0</v>
      </c>
      <c r="O66" s="164" t="str">
        <f>IF([1]Calculations!T66=1,"",[1]Calculations!T66)</f>
        <v/>
      </c>
      <c r="P66" s="164">
        <f>[1]Calculations!S66</f>
        <v>0</v>
      </c>
      <c r="Q66" s="165">
        <f t="shared" si="9"/>
        <v>0</v>
      </c>
      <c r="R66" s="166"/>
      <c r="S66" s="166"/>
      <c r="T66" s="166"/>
      <c r="U66" s="166"/>
      <c r="V66" s="166"/>
      <c r="W66" s="166"/>
      <c r="X66" s="84"/>
      <c r="Y66" s="167">
        <f>IF(R66&lt;Year1,,IF(R66&lt;IF(AND(MONTH($N$14)&gt;=10,MONTH($N$14)&lt;=12),YEAR($N$14)+1,YEAR($N$14)),,IF(R66&gt;1,[1]Calculations!$W66/VLOOKUP(R66,Annual_Inputs,3,FALSE),)))</f>
        <v>0</v>
      </c>
      <c r="Z66" s="168">
        <f>IF(S66&lt;Year1,,IF(S66&lt;IF(AND(MONTH($N$14)&gt;=10,MONTH($N$14)&lt;=12),YEAR($N$14)+1,YEAR($N$14)),,IF(S66&gt;1,[1]Calculations!$W66/VLOOKUP(S66,Annual_Inputs,3,FALSE)/$Y$21*Z$21,0)))</f>
        <v>0</v>
      </c>
      <c r="AA66" s="168">
        <f>IF(T66&lt;Year1,,IF(T66&lt;IF(AND(MONTH($N$14)&gt;=10,MONTH($N$14)&lt;=12),YEAR($N$14)+1,YEAR($N$14)),,IF(T66&gt;1,[1]Calculations!$W66/VLOOKUP(T66,Annual_Inputs,3,FALSE)/$Y$21*AA$21,0)))</f>
        <v>0</v>
      </c>
      <c r="AB66" s="168">
        <f>IF(U66&lt;Year1,,IF(U66&lt;IF(AND(MONTH($N$14)&gt;=10,MONTH($N$14)&lt;=12),YEAR($N$14)+1,YEAR($N$14)),,IF(U66&gt;1,[1]Calculations!$W66/VLOOKUP(U66,Annual_Inputs,3,FALSE)/$Y$21*AB$21,0)))</f>
        <v>0</v>
      </c>
      <c r="AC66" s="168">
        <f>IF(V66&lt;Year1,,IF(V66&lt;IF(AND(MONTH($N$14)&gt;=10,MONTH($N$14)&lt;=12),YEAR($N$14)+1,YEAR($N$14)),,IF(V66&gt;1,[1]Calculations!$W66/VLOOKUP(V66,Annual_Inputs,3,FALSE)/$Y$21*AC$21,0)))</f>
        <v>0</v>
      </c>
      <c r="AD66" s="169">
        <f>IF(W66&lt;Year1,,IF(W66&lt;IF(AND(MONTH($N$14)&gt;=10,MONTH($N$14)&lt;=12),YEAR($N$14)+1,YEAR($N$14)),,IF(W66&gt;1,[1]Calculations!$W66/VLOOKUP(W66,Annual_Inputs,3,FALSE)/$Y$21*AD$21,0)))</f>
        <v>0</v>
      </c>
      <c r="AE66" s="170">
        <f t="shared" si="7"/>
        <v>0</v>
      </c>
      <c r="AF66" s="177"/>
      <c r="AG66" s="83"/>
      <c r="AH66" s="83"/>
      <c r="AI66" s="83"/>
    </row>
    <row r="67" spans="1:35" ht="13.9" hidden="1" thickBot="1" x14ac:dyDescent="0.3">
      <c r="A67" s="84"/>
      <c r="B67" s="88"/>
      <c r="C67" s="90"/>
      <c r="D67" s="90"/>
      <c r="E67" s="204"/>
      <c r="F67" s="205"/>
      <c r="G67" s="206"/>
      <c r="H67" s="206"/>
      <c r="I67" s="153"/>
      <c r="J67" s="206"/>
      <c r="K67" s="206"/>
      <c r="L67" s="206"/>
      <c r="M67" s="83"/>
      <c r="N67" s="208">
        <f>[1]Calculations!R67</f>
        <v>0</v>
      </c>
      <c r="O67" s="164" t="str">
        <f>IF([1]Calculations!T67=1,"",[1]Calculations!T67)</f>
        <v/>
      </c>
      <c r="P67" s="164">
        <f>[1]Calculations!S67</f>
        <v>0</v>
      </c>
      <c r="Q67" s="165">
        <f t="shared" si="9"/>
        <v>0</v>
      </c>
      <c r="R67" s="166"/>
      <c r="S67" s="166"/>
      <c r="T67" s="166"/>
      <c r="U67" s="166"/>
      <c r="V67" s="166"/>
      <c r="W67" s="166"/>
      <c r="X67" s="84"/>
      <c r="Y67" s="167">
        <f>IF(R67&lt;Year1,,IF(R67&lt;IF(AND(MONTH($N$14)&gt;=10,MONTH($N$14)&lt;=12),YEAR($N$14)+1,YEAR($N$14)),,IF(R67&gt;1,[1]Calculations!$W67/VLOOKUP(R67,Annual_Inputs,3,FALSE),)))</f>
        <v>0</v>
      </c>
      <c r="Z67" s="168">
        <f>IF(S67&lt;Year1,,IF(S67&lt;IF(AND(MONTH($N$14)&gt;=10,MONTH($N$14)&lt;=12),YEAR($N$14)+1,YEAR($N$14)),,IF(S67&gt;1,[1]Calculations!$W67/VLOOKUP(S67,Annual_Inputs,3,FALSE)/$Y$21*Z$21,0)))</f>
        <v>0</v>
      </c>
      <c r="AA67" s="168">
        <f>IF(T67&lt;Year1,,IF(T67&lt;IF(AND(MONTH($N$14)&gt;=10,MONTH($N$14)&lt;=12),YEAR($N$14)+1,YEAR($N$14)),,IF(T67&gt;1,[1]Calculations!$W67/VLOOKUP(T67,Annual_Inputs,3,FALSE)/$Y$21*AA$21,0)))</f>
        <v>0</v>
      </c>
      <c r="AB67" s="168">
        <f>IF(U67&lt;Year1,,IF(U67&lt;IF(AND(MONTH($N$14)&gt;=10,MONTH($N$14)&lt;=12),YEAR($N$14)+1,YEAR($N$14)),,IF(U67&gt;1,[1]Calculations!$W67/VLOOKUP(U67,Annual_Inputs,3,FALSE)/$Y$21*AB$21,0)))</f>
        <v>0</v>
      </c>
      <c r="AC67" s="168">
        <f>IF(V67&lt;Year1,,IF(V67&lt;IF(AND(MONTH($N$14)&gt;=10,MONTH($N$14)&lt;=12),YEAR($N$14)+1,YEAR($N$14)),,IF(V67&gt;1,[1]Calculations!$W67/VLOOKUP(V67,Annual_Inputs,3,FALSE)/$Y$21*AC$21,0)))</f>
        <v>0</v>
      </c>
      <c r="AD67" s="169">
        <f>IF(W67&lt;Year1,,IF(W67&lt;IF(AND(MONTH($N$14)&gt;=10,MONTH($N$14)&lt;=12),YEAR($N$14)+1,YEAR($N$14)),,IF(W67&gt;1,[1]Calculations!$W67/VLOOKUP(W67,Annual_Inputs,3,FALSE)/$Y$21*AD$21,0)))</f>
        <v>0</v>
      </c>
      <c r="AE67" s="170">
        <f t="shared" si="7"/>
        <v>0</v>
      </c>
      <c r="AF67" s="177"/>
      <c r="AG67" s="83"/>
      <c r="AH67" s="83"/>
      <c r="AI67" s="83"/>
    </row>
    <row r="68" spans="1:35" ht="13.9" hidden="1" thickBot="1" x14ac:dyDescent="0.3">
      <c r="A68" s="84"/>
      <c r="B68" s="88"/>
      <c r="C68" s="90"/>
      <c r="D68" s="90"/>
      <c r="E68" s="204"/>
      <c r="F68" s="205"/>
      <c r="G68" s="206"/>
      <c r="H68" s="206"/>
      <c r="I68" s="153"/>
      <c r="J68" s="206"/>
      <c r="K68" s="206"/>
      <c r="L68" s="206"/>
      <c r="M68" s="83"/>
      <c r="N68" s="208">
        <f>[1]Calculations!R68</f>
        <v>0</v>
      </c>
      <c r="O68" s="164" t="str">
        <f>IF([1]Calculations!T68=1,"",[1]Calculations!T68)</f>
        <v/>
      </c>
      <c r="P68" s="164">
        <f>[1]Calculations!S68</f>
        <v>0</v>
      </c>
      <c r="Q68" s="165">
        <f t="shared" si="9"/>
        <v>0</v>
      </c>
      <c r="R68" s="166"/>
      <c r="S68" s="166"/>
      <c r="T68" s="166"/>
      <c r="U68" s="166"/>
      <c r="V68" s="166"/>
      <c r="W68" s="166"/>
      <c r="X68" s="84"/>
      <c r="Y68" s="167">
        <f>IF(R68&lt;Year1,,IF(R68&lt;IF(AND(MONTH($N$14)&gt;=10,MONTH($N$14)&lt;=12),YEAR($N$14)+1,YEAR($N$14)),,IF(R68&gt;1,[1]Calculations!$W68/VLOOKUP(R68,Annual_Inputs,3,FALSE),)))</f>
        <v>0</v>
      </c>
      <c r="Z68" s="168">
        <f>IF(S68&lt;Year1,,IF(S68&lt;IF(AND(MONTH($N$14)&gt;=10,MONTH($N$14)&lt;=12),YEAR($N$14)+1,YEAR($N$14)),,IF(S68&gt;1,[1]Calculations!$W68/VLOOKUP(S68,Annual_Inputs,3,FALSE)/$Y$21*Z$21,0)))</f>
        <v>0</v>
      </c>
      <c r="AA68" s="168">
        <f>IF(T68&lt;Year1,,IF(T68&lt;IF(AND(MONTH($N$14)&gt;=10,MONTH($N$14)&lt;=12),YEAR($N$14)+1,YEAR($N$14)),,IF(T68&gt;1,[1]Calculations!$W68/VLOOKUP(T68,Annual_Inputs,3,FALSE)/$Y$21*AA$21,0)))</f>
        <v>0</v>
      </c>
      <c r="AB68" s="168">
        <f>IF(U68&lt;Year1,,IF(U68&lt;IF(AND(MONTH($N$14)&gt;=10,MONTH($N$14)&lt;=12),YEAR($N$14)+1,YEAR($N$14)),,IF(U68&gt;1,[1]Calculations!$W68/VLOOKUP(U68,Annual_Inputs,3,FALSE)/$Y$21*AB$21,0)))</f>
        <v>0</v>
      </c>
      <c r="AC68" s="168">
        <f>IF(V68&lt;Year1,,IF(V68&lt;IF(AND(MONTH($N$14)&gt;=10,MONTH($N$14)&lt;=12),YEAR($N$14)+1,YEAR($N$14)),,IF(V68&gt;1,[1]Calculations!$W68/VLOOKUP(V68,Annual_Inputs,3,FALSE)/$Y$21*AC$21,0)))</f>
        <v>0</v>
      </c>
      <c r="AD68" s="169">
        <f>IF(W68&lt;Year1,,IF(W68&lt;IF(AND(MONTH($N$14)&gt;=10,MONTH($N$14)&lt;=12),YEAR($N$14)+1,YEAR($N$14)),,IF(W68&gt;1,[1]Calculations!$W68/VLOOKUP(W68,Annual_Inputs,3,FALSE)/$Y$21*AD$21,0)))</f>
        <v>0</v>
      </c>
      <c r="AE68" s="170">
        <f t="shared" si="7"/>
        <v>0</v>
      </c>
      <c r="AF68" s="177"/>
      <c r="AG68" s="83"/>
      <c r="AH68" s="83"/>
      <c r="AI68" s="83"/>
    </row>
    <row r="69" spans="1:35" ht="13.9" hidden="1" thickBot="1" x14ac:dyDescent="0.3">
      <c r="A69" s="84"/>
      <c r="B69" s="88"/>
      <c r="C69" s="90"/>
      <c r="D69" s="90"/>
      <c r="E69" s="204"/>
      <c r="F69" s="205"/>
      <c r="G69" s="206"/>
      <c r="H69" s="206"/>
      <c r="I69" s="153"/>
      <c r="J69" s="206"/>
      <c r="K69" s="206"/>
      <c r="L69" s="206"/>
      <c r="M69" s="83"/>
      <c r="N69" s="208">
        <f>[1]Calculations!R69</f>
        <v>0</v>
      </c>
      <c r="O69" s="164" t="str">
        <f>IF([1]Calculations!T69=1,"",[1]Calculations!T69)</f>
        <v/>
      </c>
      <c r="P69" s="164">
        <f>[1]Calculations!S69</f>
        <v>0</v>
      </c>
      <c r="Q69" s="165">
        <f t="shared" si="9"/>
        <v>0</v>
      </c>
      <c r="R69" s="166"/>
      <c r="S69" s="166"/>
      <c r="T69" s="166"/>
      <c r="U69" s="166"/>
      <c r="V69" s="166"/>
      <c r="W69" s="166"/>
      <c r="X69" s="84"/>
      <c r="Y69" s="167">
        <f>IF(R69&lt;Year1,,IF(R69&lt;IF(AND(MONTH($N$14)&gt;=10,MONTH($N$14)&lt;=12),YEAR($N$14)+1,YEAR($N$14)),,IF(R69&gt;1,[1]Calculations!$W69/VLOOKUP(R69,Annual_Inputs,3,FALSE),)))</f>
        <v>0</v>
      </c>
      <c r="Z69" s="168">
        <f>IF(S69&lt;Year1,,IF(S69&lt;IF(AND(MONTH($N$14)&gt;=10,MONTH($N$14)&lt;=12),YEAR($N$14)+1,YEAR($N$14)),,IF(S69&gt;1,[1]Calculations!$W69/VLOOKUP(S69,Annual_Inputs,3,FALSE)/$Y$21*Z$21,0)))</f>
        <v>0</v>
      </c>
      <c r="AA69" s="168">
        <f>IF(T69&lt;Year1,,IF(T69&lt;IF(AND(MONTH($N$14)&gt;=10,MONTH($N$14)&lt;=12),YEAR($N$14)+1,YEAR($N$14)),,IF(T69&gt;1,[1]Calculations!$W69/VLOOKUP(T69,Annual_Inputs,3,FALSE)/$Y$21*AA$21,0)))</f>
        <v>0</v>
      </c>
      <c r="AB69" s="168">
        <f>IF(U69&lt;Year1,,IF(U69&lt;IF(AND(MONTH($N$14)&gt;=10,MONTH($N$14)&lt;=12),YEAR($N$14)+1,YEAR($N$14)),,IF(U69&gt;1,[1]Calculations!$W69/VLOOKUP(U69,Annual_Inputs,3,FALSE)/$Y$21*AB$21,0)))</f>
        <v>0</v>
      </c>
      <c r="AC69" s="168">
        <f>IF(V69&lt;Year1,,IF(V69&lt;IF(AND(MONTH($N$14)&gt;=10,MONTH($N$14)&lt;=12),YEAR($N$14)+1,YEAR($N$14)),,IF(V69&gt;1,[1]Calculations!$W69/VLOOKUP(V69,Annual_Inputs,3,FALSE)/$Y$21*AC$21,0)))</f>
        <v>0</v>
      </c>
      <c r="AD69" s="169">
        <f>IF(W69&lt;Year1,,IF(W69&lt;IF(AND(MONTH($N$14)&gt;=10,MONTH($N$14)&lt;=12),YEAR($N$14)+1,YEAR($N$14)),,IF(W69&gt;1,[1]Calculations!$W69/VLOOKUP(W69,Annual_Inputs,3,FALSE)/$Y$21*AD$21,0)))</f>
        <v>0</v>
      </c>
      <c r="AE69" s="170">
        <f t="shared" si="7"/>
        <v>0</v>
      </c>
      <c r="AF69" s="177"/>
      <c r="AG69" s="83"/>
      <c r="AH69" s="83"/>
      <c r="AI69" s="83"/>
    </row>
    <row r="70" spans="1:35" ht="13.9" hidden="1" thickBot="1" x14ac:dyDescent="0.3">
      <c r="A70" s="84"/>
      <c r="B70" s="88"/>
      <c r="C70" s="90"/>
      <c r="D70" s="90"/>
      <c r="E70" s="204"/>
      <c r="F70" s="205"/>
      <c r="G70" s="206"/>
      <c r="H70" s="206"/>
      <c r="I70" s="153"/>
      <c r="J70" s="206"/>
      <c r="K70" s="206"/>
      <c r="L70" s="206"/>
      <c r="M70" s="83"/>
      <c r="N70" s="208">
        <f>[1]Calculations!R70</f>
        <v>0</v>
      </c>
      <c r="O70" s="164" t="str">
        <f>IF([1]Calculations!T70=1,"",[1]Calculations!T70)</f>
        <v/>
      </c>
      <c r="P70" s="164">
        <f>[1]Calculations!S70</f>
        <v>0</v>
      </c>
      <c r="Q70" s="165">
        <f t="shared" si="9"/>
        <v>0</v>
      </c>
      <c r="R70" s="166"/>
      <c r="S70" s="166"/>
      <c r="T70" s="166"/>
      <c r="U70" s="166"/>
      <c r="V70" s="166"/>
      <c r="W70" s="166"/>
      <c r="X70" s="84"/>
      <c r="Y70" s="167">
        <f>IF(R70&lt;Year1,,IF(R70&lt;IF(AND(MONTH($N$14)&gt;=10,MONTH($N$14)&lt;=12),YEAR($N$14)+1,YEAR($N$14)),,IF(R70&gt;1,[1]Calculations!$W70/VLOOKUP(R70,Annual_Inputs,3,FALSE),)))</f>
        <v>0</v>
      </c>
      <c r="Z70" s="168">
        <f>IF(S70&lt;Year1,,IF(S70&lt;IF(AND(MONTH($N$14)&gt;=10,MONTH($N$14)&lt;=12),YEAR($N$14)+1,YEAR($N$14)),,IF(S70&gt;1,[1]Calculations!$W70/VLOOKUP(S70,Annual_Inputs,3,FALSE)/$Y$21*Z$21,0)))</f>
        <v>0</v>
      </c>
      <c r="AA70" s="168">
        <f>IF(T70&lt;Year1,,IF(T70&lt;IF(AND(MONTH($N$14)&gt;=10,MONTH($N$14)&lt;=12),YEAR($N$14)+1,YEAR($N$14)),,IF(T70&gt;1,[1]Calculations!$W70/VLOOKUP(T70,Annual_Inputs,3,FALSE)/$Y$21*AA$21,0)))</f>
        <v>0</v>
      </c>
      <c r="AB70" s="168">
        <f>IF(U70&lt;Year1,,IF(U70&lt;IF(AND(MONTH($N$14)&gt;=10,MONTH($N$14)&lt;=12),YEAR($N$14)+1,YEAR($N$14)),,IF(U70&gt;1,[1]Calculations!$W70/VLOOKUP(U70,Annual_Inputs,3,FALSE)/$Y$21*AB$21,0)))</f>
        <v>0</v>
      </c>
      <c r="AC70" s="168">
        <f>IF(V70&lt;Year1,,IF(V70&lt;IF(AND(MONTH($N$14)&gt;=10,MONTH($N$14)&lt;=12),YEAR($N$14)+1,YEAR($N$14)),,IF(V70&gt;1,[1]Calculations!$W70/VLOOKUP(V70,Annual_Inputs,3,FALSE)/$Y$21*AC$21,0)))</f>
        <v>0</v>
      </c>
      <c r="AD70" s="169">
        <f>IF(W70&lt;Year1,,IF(W70&lt;IF(AND(MONTH($N$14)&gt;=10,MONTH($N$14)&lt;=12),YEAR($N$14)+1,YEAR($N$14)),,IF(W70&gt;1,[1]Calculations!$W70/VLOOKUP(W70,Annual_Inputs,3,FALSE)/$Y$21*AD$21,0)))</f>
        <v>0</v>
      </c>
      <c r="AE70" s="170">
        <f t="shared" si="7"/>
        <v>0</v>
      </c>
      <c r="AF70" s="177"/>
      <c r="AG70" s="83"/>
      <c r="AH70" s="83"/>
      <c r="AI70" s="83"/>
    </row>
    <row r="71" spans="1:35" ht="13.9" hidden="1" thickBot="1" x14ac:dyDescent="0.3">
      <c r="A71" s="84"/>
      <c r="B71" s="88"/>
      <c r="C71" s="90"/>
      <c r="D71" s="90"/>
      <c r="E71" s="204"/>
      <c r="F71" s="205"/>
      <c r="G71" s="206"/>
      <c r="H71" s="206"/>
      <c r="I71" s="153"/>
      <c r="J71" s="206"/>
      <c r="K71" s="206"/>
      <c r="L71" s="206"/>
      <c r="M71" s="83"/>
      <c r="N71" s="208">
        <f>[1]Calculations!R71</f>
        <v>0</v>
      </c>
      <c r="O71" s="164" t="str">
        <f>IF([1]Calculations!T71=1,"",[1]Calculations!T71)</f>
        <v/>
      </c>
      <c r="P71" s="164">
        <f>[1]Calculations!S71</f>
        <v>0</v>
      </c>
      <c r="Q71" s="165">
        <f t="shared" si="9"/>
        <v>0</v>
      </c>
      <c r="R71" s="166"/>
      <c r="S71" s="166"/>
      <c r="T71" s="166"/>
      <c r="U71" s="166"/>
      <c r="V71" s="166"/>
      <c r="W71" s="166"/>
      <c r="X71" s="84"/>
      <c r="Y71" s="167">
        <f>IF(R71&lt;Year1,,IF(R71&lt;IF(AND(MONTH($N$14)&gt;=10,MONTH($N$14)&lt;=12),YEAR($N$14)+1,YEAR($N$14)),,IF(R71&gt;1,[1]Calculations!$W71/VLOOKUP(R71,Annual_Inputs,3,FALSE),)))</f>
        <v>0</v>
      </c>
      <c r="Z71" s="168">
        <f>IF(S71&lt;Year1,,IF(S71&lt;IF(AND(MONTH($N$14)&gt;=10,MONTH($N$14)&lt;=12),YEAR($N$14)+1,YEAR($N$14)),,IF(S71&gt;1,[1]Calculations!$W71/VLOOKUP(S71,Annual_Inputs,3,FALSE)/$Y$21*Z$21,0)))</f>
        <v>0</v>
      </c>
      <c r="AA71" s="168">
        <f>IF(T71&lt;Year1,,IF(T71&lt;IF(AND(MONTH($N$14)&gt;=10,MONTH($N$14)&lt;=12),YEAR($N$14)+1,YEAR($N$14)),,IF(T71&gt;1,[1]Calculations!$W71/VLOOKUP(T71,Annual_Inputs,3,FALSE)/$Y$21*AA$21,0)))</f>
        <v>0</v>
      </c>
      <c r="AB71" s="168">
        <f>IF(U71&lt;Year1,,IF(U71&lt;IF(AND(MONTH($N$14)&gt;=10,MONTH($N$14)&lt;=12),YEAR($N$14)+1,YEAR($N$14)),,IF(U71&gt;1,[1]Calculations!$W71/VLOOKUP(U71,Annual_Inputs,3,FALSE)/$Y$21*AB$21,0)))</f>
        <v>0</v>
      </c>
      <c r="AC71" s="168">
        <f>IF(V71&lt;Year1,,IF(V71&lt;IF(AND(MONTH($N$14)&gt;=10,MONTH($N$14)&lt;=12),YEAR($N$14)+1,YEAR($N$14)),,IF(V71&gt;1,[1]Calculations!$W71/VLOOKUP(V71,Annual_Inputs,3,FALSE)/$Y$21*AC$21,0)))</f>
        <v>0</v>
      </c>
      <c r="AD71" s="169">
        <f>IF(W71&lt;Year1,,IF(W71&lt;IF(AND(MONTH($N$14)&gt;=10,MONTH($N$14)&lt;=12),YEAR($N$14)+1,YEAR($N$14)),,IF(W71&gt;1,[1]Calculations!$W71/VLOOKUP(W71,Annual_Inputs,3,FALSE)/$Y$21*AD$21,0)))</f>
        <v>0</v>
      </c>
      <c r="AE71" s="170">
        <f t="shared" si="7"/>
        <v>0</v>
      </c>
      <c r="AF71" s="177"/>
      <c r="AG71" s="83"/>
      <c r="AH71" s="83"/>
      <c r="AI71" s="83"/>
    </row>
    <row r="72" spans="1:35" ht="13.9" hidden="1" thickBot="1" x14ac:dyDescent="0.3">
      <c r="A72" s="84"/>
      <c r="B72" s="88"/>
      <c r="C72" s="90"/>
      <c r="D72" s="90"/>
      <c r="E72" s="204"/>
      <c r="F72" s="205"/>
      <c r="G72" s="206"/>
      <c r="H72" s="206"/>
      <c r="I72" s="153"/>
      <c r="J72" s="206"/>
      <c r="K72" s="206"/>
      <c r="L72" s="206"/>
      <c r="M72" s="83"/>
      <c r="N72" s="208">
        <f>[1]Calculations!R72</f>
        <v>0</v>
      </c>
      <c r="O72" s="164" t="str">
        <f>IF([1]Calculations!T72=1,"",[1]Calculations!T72)</f>
        <v/>
      </c>
      <c r="P72" s="164">
        <f>[1]Calculations!S72</f>
        <v>0</v>
      </c>
      <c r="Q72" s="165">
        <f t="shared" si="9"/>
        <v>0</v>
      </c>
      <c r="R72" s="166"/>
      <c r="S72" s="166"/>
      <c r="T72" s="166"/>
      <c r="U72" s="166"/>
      <c r="V72" s="166"/>
      <c r="W72" s="166"/>
      <c r="X72" s="84"/>
      <c r="Y72" s="167">
        <f>IF(R72&lt;Year1,,IF(R72&lt;IF(AND(MONTH($N$14)&gt;=10,MONTH($N$14)&lt;=12),YEAR($N$14)+1,YEAR($N$14)),,IF(R72&gt;1,[1]Calculations!$W72/VLOOKUP(R72,Annual_Inputs,3,FALSE),)))</f>
        <v>0</v>
      </c>
      <c r="Z72" s="168">
        <f>IF(S72&lt;Year1,,IF(S72&lt;IF(AND(MONTH($N$14)&gt;=10,MONTH($N$14)&lt;=12),YEAR($N$14)+1,YEAR($N$14)),,IF(S72&gt;1,[1]Calculations!$W72/VLOOKUP(S72,Annual_Inputs,3,FALSE)/$Y$21*Z$21,0)))</f>
        <v>0</v>
      </c>
      <c r="AA72" s="168">
        <f>IF(T72&lt;Year1,,IF(T72&lt;IF(AND(MONTH($N$14)&gt;=10,MONTH($N$14)&lt;=12),YEAR($N$14)+1,YEAR($N$14)),,IF(T72&gt;1,[1]Calculations!$W72/VLOOKUP(T72,Annual_Inputs,3,FALSE)/$Y$21*AA$21,0)))</f>
        <v>0</v>
      </c>
      <c r="AB72" s="168">
        <f>IF(U72&lt;Year1,,IF(U72&lt;IF(AND(MONTH($N$14)&gt;=10,MONTH($N$14)&lt;=12),YEAR($N$14)+1,YEAR($N$14)),,IF(U72&gt;1,[1]Calculations!$W72/VLOOKUP(U72,Annual_Inputs,3,FALSE)/$Y$21*AB$21,0)))</f>
        <v>0</v>
      </c>
      <c r="AC72" s="168">
        <f>IF(V72&lt;Year1,,IF(V72&lt;IF(AND(MONTH($N$14)&gt;=10,MONTH($N$14)&lt;=12),YEAR($N$14)+1,YEAR($N$14)),,IF(V72&gt;1,[1]Calculations!$W72/VLOOKUP(V72,Annual_Inputs,3,FALSE)/$Y$21*AC$21,0)))</f>
        <v>0</v>
      </c>
      <c r="AD72" s="169">
        <f>IF(W72&lt;Year1,,IF(W72&lt;IF(AND(MONTH($N$14)&gt;=10,MONTH($N$14)&lt;=12),YEAR($N$14)+1,YEAR($N$14)),,IF(W72&gt;1,[1]Calculations!$W72/VLOOKUP(W72,Annual_Inputs,3,FALSE)/$Y$21*AD$21,0)))</f>
        <v>0</v>
      </c>
      <c r="AE72" s="170">
        <f t="shared" si="7"/>
        <v>0</v>
      </c>
      <c r="AF72" s="177"/>
      <c r="AG72" s="83"/>
      <c r="AH72" s="83"/>
      <c r="AI72" s="83"/>
    </row>
    <row r="73" spans="1:35" ht="13.9" hidden="1" thickBot="1" x14ac:dyDescent="0.3">
      <c r="A73" s="84"/>
      <c r="B73" s="88"/>
      <c r="C73" s="90"/>
      <c r="D73" s="90"/>
      <c r="E73" s="204"/>
      <c r="F73" s="205"/>
      <c r="G73" s="206"/>
      <c r="H73" s="206"/>
      <c r="I73" s="153"/>
      <c r="J73" s="206"/>
      <c r="K73" s="206"/>
      <c r="L73" s="206"/>
      <c r="M73" s="83"/>
      <c r="N73" s="208">
        <f>[1]Calculations!R73</f>
        <v>0</v>
      </c>
      <c r="O73" s="164" t="str">
        <f>IF([1]Calculations!T73=1,"",[1]Calculations!T73)</f>
        <v/>
      </c>
      <c r="P73" s="164">
        <f>[1]Calculations!S73</f>
        <v>0</v>
      </c>
      <c r="Q73" s="165">
        <f t="shared" si="9"/>
        <v>0</v>
      </c>
      <c r="R73" s="166"/>
      <c r="S73" s="166"/>
      <c r="T73" s="166"/>
      <c r="U73" s="166"/>
      <c r="V73" s="166"/>
      <c r="W73" s="166"/>
      <c r="X73" s="84"/>
      <c r="Y73" s="167">
        <f>IF(R73&lt;Year1,,IF(R73&lt;IF(AND(MONTH($N$14)&gt;=10,MONTH($N$14)&lt;=12),YEAR($N$14)+1,YEAR($N$14)),,IF(R73&gt;1,[1]Calculations!$W73/VLOOKUP(R73,Annual_Inputs,3,FALSE),)))</f>
        <v>0</v>
      </c>
      <c r="Z73" s="168">
        <f>IF(S73&lt;Year1,,IF(S73&lt;IF(AND(MONTH($N$14)&gt;=10,MONTH($N$14)&lt;=12),YEAR($N$14)+1,YEAR($N$14)),,IF(S73&gt;1,[1]Calculations!$W73/VLOOKUP(S73,Annual_Inputs,3,FALSE)/$Y$21*Z$21,0)))</f>
        <v>0</v>
      </c>
      <c r="AA73" s="168">
        <f>IF(T73&lt;Year1,,IF(T73&lt;IF(AND(MONTH($N$14)&gt;=10,MONTH($N$14)&lt;=12),YEAR($N$14)+1,YEAR($N$14)),,IF(T73&gt;1,[1]Calculations!$W73/VLOOKUP(T73,Annual_Inputs,3,FALSE)/$Y$21*AA$21,0)))</f>
        <v>0</v>
      </c>
      <c r="AB73" s="168">
        <f>IF(U73&lt;Year1,,IF(U73&lt;IF(AND(MONTH($N$14)&gt;=10,MONTH($N$14)&lt;=12),YEAR($N$14)+1,YEAR($N$14)),,IF(U73&gt;1,[1]Calculations!$W73/VLOOKUP(U73,Annual_Inputs,3,FALSE)/$Y$21*AB$21,0)))</f>
        <v>0</v>
      </c>
      <c r="AC73" s="168">
        <f>IF(V73&lt;Year1,,IF(V73&lt;IF(AND(MONTH($N$14)&gt;=10,MONTH($N$14)&lt;=12),YEAR($N$14)+1,YEAR($N$14)),,IF(V73&gt;1,[1]Calculations!$W73/VLOOKUP(V73,Annual_Inputs,3,FALSE)/$Y$21*AC$21,0)))</f>
        <v>0</v>
      </c>
      <c r="AD73" s="169">
        <f>IF(W73&lt;Year1,,IF(W73&lt;IF(AND(MONTH($N$14)&gt;=10,MONTH($N$14)&lt;=12),YEAR($N$14)+1,YEAR($N$14)),,IF(W73&gt;1,[1]Calculations!$W73/VLOOKUP(W73,Annual_Inputs,3,FALSE)/$Y$21*AD$21,0)))</f>
        <v>0</v>
      </c>
      <c r="AE73" s="170">
        <f t="shared" si="7"/>
        <v>0</v>
      </c>
      <c r="AF73" s="177"/>
      <c r="AG73" s="83"/>
      <c r="AH73" s="83"/>
      <c r="AI73" s="83"/>
    </row>
    <row r="74" spans="1:35" ht="13.9" hidden="1" thickBot="1" x14ac:dyDescent="0.3">
      <c r="A74" s="84"/>
      <c r="B74" s="88"/>
      <c r="C74" s="90"/>
      <c r="D74" s="90"/>
      <c r="E74" s="204"/>
      <c r="F74" s="205"/>
      <c r="G74" s="206"/>
      <c r="H74" s="206"/>
      <c r="I74" s="153"/>
      <c r="J74" s="206"/>
      <c r="K74" s="206"/>
      <c r="L74" s="206"/>
      <c r="M74" s="83"/>
      <c r="N74" s="208">
        <f>[1]Calculations!R74</f>
        <v>0</v>
      </c>
      <c r="O74" s="164" t="str">
        <f>IF([1]Calculations!T74=1,"",[1]Calculations!T74)</f>
        <v/>
      </c>
      <c r="P74" s="164">
        <f>[1]Calculations!S74</f>
        <v>0</v>
      </c>
      <c r="Q74" s="165">
        <f t="shared" si="9"/>
        <v>0</v>
      </c>
      <c r="R74" s="166"/>
      <c r="S74" s="166"/>
      <c r="T74" s="166"/>
      <c r="U74" s="166"/>
      <c r="V74" s="166"/>
      <c r="W74" s="166"/>
      <c r="X74" s="84"/>
      <c r="Y74" s="167">
        <f>IF(R74&lt;Year1,,IF(R74&lt;IF(AND(MONTH($N$14)&gt;=10,MONTH($N$14)&lt;=12),YEAR($N$14)+1,YEAR($N$14)),,IF(R74&gt;1,[1]Calculations!$W74/VLOOKUP(R74,Annual_Inputs,3,FALSE),)))</f>
        <v>0</v>
      </c>
      <c r="Z74" s="168">
        <f>IF(S74&lt;Year1,,IF(S74&lt;IF(AND(MONTH($N$14)&gt;=10,MONTH($N$14)&lt;=12),YEAR($N$14)+1,YEAR($N$14)),,IF(S74&gt;1,[1]Calculations!$W74/VLOOKUP(S74,Annual_Inputs,3,FALSE)/$Y$21*Z$21,0)))</f>
        <v>0</v>
      </c>
      <c r="AA74" s="168">
        <f>IF(T74&lt;Year1,,IF(T74&lt;IF(AND(MONTH($N$14)&gt;=10,MONTH($N$14)&lt;=12),YEAR($N$14)+1,YEAR($N$14)),,IF(T74&gt;1,[1]Calculations!$W74/VLOOKUP(T74,Annual_Inputs,3,FALSE)/$Y$21*AA$21,0)))</f>
        <v>0</v>
      </c>
      <c r="AB74" s="168">
        <f>IF(U74&lt;Year1,,IF(U74&lt;IF(AND(MONTH($N$14)&gt;=10,MONTH($N$14)&lt;=12),YEAR($N$14)+1,YEAR($N$14)),,IF(U74&gt;1,[1]Calculations!$W74/VLOOKUP(U74,Annual_Inputs,3,FALSE)/$Y$21*AB$21,0)))</f>
        <v>0</v>
      </c>
      <c r="AC74" s="168">
        <f>IF(V74&lt;Year1,,IF(V74&lt;IF(AND(MONTH($N$14)&gt;=10,MONTH($N$14)&lt;=12),YEAR($N$14)+1,YEAR($N$14)),,IF(V74&gt;1,[1]Calculations!$W74/VLOOKUP(V74,Annual_Inputs,3,FALSE)/$Y$21*AC$21,0)))</f>
        <v>0</v>
      </c>
      <c r="AD74" s="169">
        <f>IF(W74&lt;Year1,,IF(W74&lt;IF(AND(MONTH($N$14)&gt;=10,MONTH($N$14)&lt;=12),YEAR($N$14)+1,YEAR($N$14)),,IF(W74&gt;1,[1]Calculations!$W74/VLOOKUP(W74,Annual_Inputs,3,FALSE)/$Y$21*AD$21,0)))</f>
        <v>0</v>
      </c>
      <c r="AE74" s="170">
        <f t="shared" si="7"/>
        <v>0</v>
      </c>
      <c r="AF74" s="177"/>
      <c r="AG74" s="83"/>
      <c r="AH74" s="83"/>
      <c r="AI74" s="83"/>
    </row>
    <row r="75" spans="1:35" ht="13.9" hidden="1" thickBot="1" x14ac:dyDescent="0.3">
      <c r="A75" s="84"/>
      <c r="B75" s="88"/>
      <c r="C75" s="90"/>
      <c r="D75" s="90"/>
      <c r="E75" s="204"/>
      <c r="F75" s="205"/>
      <c r="G75" s="206"/>
      <c r="H75" s="206"/>
      <c r="I75" s="153"/>
      <c r="J75" s="206"/>
      <c r="K75" s="206"/>
      <c r="L75" s="206"/>
      <c r="M75" s="83"/>
      <c r="N75" s="208">
        <f>[1]Calculations!R75</f>
        <v>0</v>
      </c>
      <c r="O75" s="164" t="str">
        <f>IF([1]Calculations!T75=1,"",[1]Calculations!T75)</f>
        <v/>
      </c>
      <c r="P75" s="164">
        <f>[1]Calculations!S75</f>
        <v>0</v>
      </c>
      <c r="Q75" s="165">
        <f t="shared" si="9"/>
        <v>0</v>
      </c>
      <c r="R75" s="166"/>
      <c r="S75" s="166"/>
      <c r="T75" s="166"/>
      <c r="U75" s="166"/>
      <c r="V75" s="166"/>
      <c r="W75" s="166"/>
      <c r="X75" s="84"/>
      <c r="Y75" s="167">
        <f>IF(R75&lt;Year1,,IF(R75&lt;IF(AND(MONTH($N$14)&gt;=10,MONTH($N$14)&lt;=12),YEAR($N$14)+1,YEAR($N$14)),,IF(R75&gt;1,[1]Calculations!$W75/VLOOKUP(R75,Annual_Inputs,3,FALSE),)))</f>
        <v>0</v>
      </c>
      <c r="Z75" s="168">
        <f>IF(S75&lt;Year1,,IF(S75&lt;IF(AND(MONTH($N$14)&gt;=10,MONTH($N$14)&lt;=12),YEAR($N$14)+1,YEAR($N$14)),,IF(S75&gt;1,[1]Calculations!$W75/VLOOKUP(S75,Annual_Inputs,3,FALSE)/$Y$21*Z$21,0)))</f>
        <v>0</v>
      </c>
      <c r="AA75" s="168">
        <f>IF(T75&lt;Year1,,IF(T75&lt;IF(AND(MONTH($N$14)&gt;=10,MONTH($N$14)&lt;=12),YEAR($N$14)+1,YEAR($N$14)),,IF(T75&gt;1,[1]Calculations!$W75/VLOOKUP(T75,Annual_Inputs,3,FALSE)/$Y$21*AA$21,0)))</f>
        <v>0</v>
      </c>
      <c r="AB75" s="168">
        <f>IF(U75&lt;Year1,,IF(U75&lt;IF(AND(MONTH($N$14)&gt;=10,MONTH($N$14)&lt;=12),YEAR($N$14)+1,YEAR($N$14)),,IF(U75&gt;1,[1]Calculations!$W75/VLOOKUP(U75,Annual_Inputs,3,FALSE)/$Y$21*AB$21,0)))</f>
        <v>0</v>
      </c>
      <c r="AC75" s="168">
        <f>IF(V75&lt;Year1,,IF(V75&lt;IF(AND(MONTH($N$14)&gt;=10,MONTH($N$14)&lt;=12),YEAR($N$14)+1,YEAR($N$14)),,IF(V75&gt;1,[1]Calculations!$W75/VLOOKUP(V75,Annual_Inputs,3,FALSE)/$Y$21*AC$21,0)))</f>
        <v>0</v>
      </c>
      <c r="AD75" s="169">
        <f>IF(W75&lt;Year1,,IF(W75&lt;IF(AND(MONTH($N$14)&gt;=10,MONTH($N$14)&lt;=12),YEAR($N$14)+1,YEAR($N$14)),,IF(W75&gt;1,[1]Calculations!$W75/VLOOKUP(W75,Annual_Inputs,3,FALSE)/$Y$21*AD$21,0)))</f>
        <v>0</v>
      </c>
      <c r="AE75" s="170">
        <f t="shared" si="7"/>
        <v>0</v>
      </c>
      <c r="AF75" s="177"/>
      <c r="AG75" s="83"/>
      <c r="AH75" s="83"/>
      <c r="AI75" s="83"/>
    </row>
    <row r="76" spans="1:35" ht="13.9" hidden="1" thickBot="1" x14ac:dyDescent="0.3">
      <c r="A76" s="84"/>
      <c r="B76" s="88"/>
      <c r="C76" s="90"/>
      <c r="D76" s="90"/>
      <c r="E76" s="204"/>
      <c r="F76" s="205"/>
      <c r="G76" s="206"/>
      <c r="H76" s="206"/>
      <c r="I76" s="153"/>
      <c r="J76" s="206"/>
      <c r="K76" s="206"/>
      <c r="L76" s="206"/>
      <c r="M76" s="83"/>
      <c r="N76" s="208">
        <f>[1]Calculations!R76</f>
        <v>0</v>
      </c>
      <c r="O76" s="164" t="str">
        <f>IF([1]Calculations!T76=1,"",[1]Calculations!T76)</f>
        <v/>
      </c>
      <c r="P76" s="164">
        <f>[1]Calculations!S76</f>
        <v>0</v>
      </c>
      <c r="Q76" s="165">
        <f t="shared" si="9"/>
        <v>0</v>
      </c>
      <c r="R76" s="166"/>
      <c r="S76" s="166"/>
      <c r="T76" s="166"/>
      <c r="U76" s="166"/>
      <c r="V76" s="166"/>
      <c r="W76" s="166"/>
      <c r="X76" s="84"/>
      <c r="Y76" s="167">
        <f>IF(R76&lt;Year1,,IF(R76&lt;IF(AND(MONTH($N$14)&gt;=10,MONTH($N$14)&lt;=12),YEAR($N$14)+1,YEAR($N$14)),,IF(R76&gt;1,[1]Calculations!$W76/VLOOKUP(R76,Annual_Inputs,3,FALSE),)))</f>
        <v>0</v>
      </c>
      <c r="Z76" s="168">
        <f>IF(S76&lt;Year1,,IF(S76&lt;IF(AND(MONTH($N$14)&gt;=10,MONTH($N$14)&lt;=12),YEAR($N$14)+1,YEAR($N$14)),,IF(S76&gt;1,[1]Calculations!$W76/VLOOKUP(S76,Annual_Inputs,3,FALSE)/$Y$21*Z$21,0)))</f>
        <v>0</v>
      </c>
      <c r="AA76" s="168">
        <f>IF(T76&lt;Year1,,IF(T76&lt;IF(AND(MONTH($N$14)&gt;=10,MONTH($N$14)&lt;=12),YEAR($N$14)+1,YEAR($N$14)),,IF(T76&gt;1,[1]Calculations!$W76/VLOOKUP(T76,Annual_Inputs,3,FALSE)/$Y$21*AA$21,0)))</f>
        <v>0</v>
      </c>
      <c r="AB76" s="168">
        <f>IF(U76&lt;Year1,,IF(U76&lt;IF(AND(MONTH($N$14)&gt;=10,MONTH($N$14)&lt;=12),YEAR($N$14)+1,YEAR($N$14)),,IF(U76&gt;1,[1]Calculations!$W76/VLOOKUP(U76,Annual_Inputs,3,FALSE)/$Y$21*AB$21,0)))</f>
        <v>0</v>
      </c>
      <c r="AC76" s="168">
        <f>IF(V76&lt;Year1,,IF(V76&lt;IF(AND(MONTH($N$14)&gt;=10,MONTH($N$14)&lt;=12),YEAR($N$14)+1,YEAR($N$14)),,IF(V76&gt;1,[1]Calculations!$W76/VLOOKUP(V76,Annual_Inputs,3,FALSE)/$Y$21*AC$21,0)))</f>
        <v>0</v>
      </c>
      <c r="AD76" s="169">
        <f>IF(W76&lt;Year1,,IF(W76&lt;IF(AND(MONTH($N$14)&gt;=10,MONTH($N$14)&lt;=12),YEAR($N$14)+1,YEAR($N$14)),,IF(W76&gt;1,[1]Calculations!$W76/VLOOKUP(W76,Annual_Inputs,3,FALSE)/$Y$21*AD$21,0)))</f>
        <v>0</v>
      </c>
      <c r="AE76" s="170">
        <f t="shared" si="7"/>
        <v>0</v>
      </c>
      <c r="AF76" s="177"/>
      <c r="AG76" s="83"/>
      <c r="AH76" s="83"/>
      <c r="AI76" s="83"/>
    </row>
    <row r="77" spans="1:35" ht="13.9" hidden="1" thickBot="1" x14ac:dyDescent="0.3">
      <c r="A77" s="84"/>
      <c r="B77" s="88"/>
      <c r="C77" s="90"/>
      <c r="D77" s="90"/>
      <c r="E77" s="204"/>
      <c r="F77" s="205"/>
      <c r="G77" s="206"/>
      <c r="H77" s="206"/>
      <c r="I77" s="153"/>
      <c r="J77" s="206"/>
      <c r="K77" s="206"/>
      <c r="L77" s="206"/>
      <c r="M77" s="83"/>
      <c r="N77" s="208">
        <f>[1]Calculations!R77</f>
        <v>0</v>
      </c>
      <c r="O77" s="164" t="str">
        <f>IF([1]Calculations!T77=1,"",[1]Calculations!T77)</f>
        <v/>
      </c>
      <c r="P77" s="164">
        <f>[1]Calculations!S77</f>
        <v>0</v>
      </c>
      <c r="Q77" s="165">
        <f t="shared" si="9"/>
        <v>0</v>
      </c>
      <c r="R77" s="166"/>
      <c r="S77" s="166"/>
      <c r="T77" s="166"/>
      <c r="U77" s="166"/>
      <c r="V77" s="166"/>
      <c r="W77" s="166"/>
      <c r="X77" s="84"/>
      <c r="Y77" s="167">
        <f>IF(R77&lt;Year1,,IF(R77&lt;IF(AND(MONTH($N$14)&gt;=10,MONTH($N$14)&lt;=12),YEAR($N$14)+1,YEAR($N$14)),,IF(R77&gt;1,[1]Calculations!$W77/VLOOKUP(R77,Annual_Inputs,3,FALSE),)))</f>
        <v>0</v>
      </c>
      <c r="Z77" s="168">
        <f>IF(S77&lt;Year1,,IF(S77&lt;IF(AND(MONTH($N$14)&gt;=10,MONTH($N$14)&lt;=12),YEAR($N$14)+1,YEAR($N$14)),,IF(S77&gt;1,[1]Calculations!$W77/VLOOKUP(S77,Annual_Inputs,3,FALSE)/$Y$21*Z$21,0)))</f>
        <v>0</v>
      </c>
      <c r="AA77" s="168">
        <f>IF(T77&lt;Year1,,IF(T77&lt;IF(AND(MONTH($N$14)&gt;=10,MONTH($N$14)&lt;=12),YEAR($N$14)+1,YEAR($N$14)),,IF(T77&gt;1,[1]Calculations!$W77/VLOOKUP(T77,Annual_Inputs,3,FALSE)/$Y$21*AA$21,0)))</f>
        <v>0</v>
      </c>
      <c r="AB77" s="168">
        <f>IF(U77&lt;Year1,,IF(U77&lt;IF(AND(MONTH($N$14)&gt;=10,MONTH($N$14)&lt;=12),YEAR($N$14)+1,YEAR($N$14)),,IF(U77&gt;1,[1]Calculations!$W77/VLOOKUP(U77,Annual_Inputs,3,FALSE)/$Y$21*AB$21,0)))</f>
        <v>0</v>
      </c>
      <c r="AC77" s="168">
        <f>IF(V77&lt;Year1,,IF(V77&lt;IF(AND(MONTH($N$14)&gt;=10,MONTH($N$14)&lt;=12),YEAR($N$14)+1,YEAR($N$14)),,IF(V77&gt;1,[1]Calculations!$W77/VLOOKUP(V77,Annual_Inputs,3,FALSE)/$Y$21*AC$21,0)))</f>
        <v>0</v>
      </c>
      <c r="AD77" s="169">
        <f>IF(W77&lt;Year1,,IF(W77&lt;IF(AND(MONTH($N$14)&gt;=10,MONTH($N$14)&lt;=12),YEAR($N$14)+1,YEAR($N$14)),,IF(W77&gt;1,[1]Calculations!$W77/VLOOKUP(W77,Annual_Inputs,3,FALSE)/$Y$21*AD$21,0)))</f>
        <v>0</v>
      </c>
      <c r="AE77" s="170">
        <f t="shared" si="7"/>
        <v>0</v>
      </c>
      <c r="AF77" s="177"/>
      <c r="AG77" s="83"/>
      <c r="AH77" s="83"/>
      <c r="AI77" s="83"/>
    </row>
    <row r="78" spans="1:35" ht="13.9" hidden="1" thickBot="1" x14ac:dyDescent="0.3">
      <c r="A78" s="84"/>
      <c r="B78" s="88"/>
      <c r="C78" s="90"/>
      <c r="D78" s="90"/>
      <c r="E78" s="204"/>
      <c r="F78" s="205"/>
      <c r="G78" s="206"/>
      <c r="H78" s="206"/>
      <c r="I78" s="153"/>
      <c r="J78" s="206"/>
      <c r="K78" s="206"/>
      <c r="L78" s="206"/>
      <c r="M78" s="83"/>
      <c r="N78" s="208">
        <f>[1]Calculations!R78</f>
        <v>0</v>
      </c>
      <c r="O78" s="164" t="str">
        <f>IF([1]Calculations!T78=1,"",[1]Calculations!T78)</f>
        <v/>
      </c>
      <c r="P78" s="164">
        <f>[1]Calculations!S78</f>
        <v>0</v>
      </c>
      <c r="Q78" s="165">
        <f t="shared" si="9"/>
        <v>0</v>
      </c>
      <c r="R78" s="166"/>
      <c r="S78" s="166"/>
      <c r="T78" s="166"/>
      <c r="U78" s="166"/>
      <c r="V78" s="166"/>
      <c r="W78" s="166"/>
      <c r="X78" s="84"/>
      <c r="Y78" s="167">
        <f>IF(R78&lt;Year1,,IF(R78&lt;IF(AND(MONTH($N$14)&gt;=10,MONTH($N$14)&lt;=12),YEAR($N$14)+1,YEAR($N$14)),,IF(R78&gt;1,[1]Calculations!$W78/VLOOKUP(R78,Annual_Inputs,3,FALSE),)))</f>
        <v>0</v>
      </c>
      <c r="Z78" s="168">
        <f>IF(S78&lt;Year1,,IF(S78&lt;IF(AND(MONTH($N$14)&gt;=10,MONTH($N$14)&lt;=12),YEAR($N$14)+1,YEAR($N$14)),,IF(S78&gt;1,[1]Calculations!$W78/VLOOKUP(S78,Annual_Inputs,3,FALSE)/$Y$21*Z$21,0)))</f>
        <v>0</v>
      </c>
      <c r="AA78" s="168">
        <f>IF(T78&lt;Year1,,IF(T78&lt;IF(AND(MONTH($N$14)&gt;=10,MONTH($N$14)&lt;=12),YEAR($N$14)+1,YEAR($N$14)),,IF(T78&gt;1,[1]Calculations!$W78/VLOOKUP(T78,Annual_Inputs,3,FALSE)/$Y$21*AA$21,0)))</f>
        <v>0</v>
      </c>
      <c r="AB78" s="168">
        <f>IF(U78&lt;Year1,,IF(U78&lt;IF(AND(MONTH($N$14)&gt;=10,MONTH($N$14)&lt;=12),YEAR($N$14)+1,YEAR($N$14)),,IF(U78&gt;1,[1]Calculations!$W78/VLOOKUP(U78,Annual_Inputs,3,FALSE)/$Y$21*AB$21,0)))</f>
        <v>0</v>
      </c>
      <c r="AC78" s="168">
        <f>IF(V78&lt;Year1,,IF(V78&lt;IF(AND(MONTH($N$14)&gt;=10,MONTH($N$14)&lt;=12),YEAR($N$14)+1,YEAR($N$14)),,IF(V78&gt;1,[1]Calculations!$W78/VLOOKUP(V78,Annual_Inputs,3,FALSE)/$Y$21*AC$21,0)))</f>
        <v>0</v>
      </c>
      <c r="AD78" s="169">
        <f>IF(W78&lt;Year1,,IF(W78&lt;IF(AND(MONTH($N$14)&gt;=10,MONTH($N$14)&lt;=12),YEAR($N$14)+1,YEAR($N$14)),,IF(W78&gt;1,[1]Calculations!$W78/VLOOKUP(W78,Annual_Inputs,3,FALSE)/$Y$21*AD$21,0)))</f>
        <v>0</v>
      </c>
      <c r="AE78" s="170">
        <f t="shared" si="7"/>
        <v>0</v>
      </c>
      <c r="AF78" s="177"/>
      <c r="AG78" s="83"/>
      <c r="AH78" s="83"/>
      <c r="AI78" s="83"/>
    </row>
    <row r="79" spans="1:35" ht="13.9" hidden="1" thickBot="1" x14ac:dyDescent="0.3">
      <c r="A79" s="84"/>
      <c r="B79" s="88"/>
      <c r="C79" s="90"/>
      <c r="D79" s="90"/>
      <c r="E79" s="204"/>
      <c r="F79" s="205"/>
      <c r="G79" s="206"/>
      <c r="H79" s="206"/>
      <c r="I79" s="153"/>
      <c r="J79" s="206"/>
      <c r="K79" s="206"/>
      <c r="L79" s="206"/>
      <c r="M79" s="83"/>
      <c r="N79" s="208">
        <f>[1]Calculations!R79</f>
        <v>0</v>
      </c>
      <c r="O79" s="164" t="str">
        <f>IF([1]Calculations!T79=1,"",[1]Calculations!T79)</f>
        <v/>
      </c>
      <c r="P79" s="164">
        <f>[1]Calculations!S79</f>
        <v>0</v>
      </c>
      <c r="Q79" s="165">
        <f t="shared" si="9"/>
        <v>0</v>
      </c>
      <c r="R79" s="166"/>
      <c r="S79" s="166"/>
      <c r="T79" s="166"/>
      <c r="U79" s="166"/>
      <c r="V79" s="166"/>
      <c r="W79" s="166"/>
      <c r="X79" s="84"/>
      <c r="Y79" s="167">
        <f>IF(R79&lt;Year1,,IF(R79&lt;IF(AND(MONTH($N$14)&gt;=10,MONTH($N$14)&lt;=12),YEAR($N$14)+1,YEAR($N$14)),,IF(R79&gt;1,[1]Calculations!$W79/VLOOKUP(R79,Annual_Inputs,3,FALSE),)))</f>
        <v>0</v>
      </c>
      <c r="Z79" s="168">
        <f>IF(S79&lt;Year1,,IF(S79&lt;IF(AND(MONTH($N$14)&gt;=10,MONTH($N$14)&lt;=12),YEAR($N$14)+1,YEAR($N$14)),,IF(S79&gt;1,[1]Calculations!$W79/VLOOKUP(S79,Annual_Inputs,3,FALSE)/$Y$21*Z$21,0)))</f>
        <v>0</v>
      </c>
      <c r="AA79" s="168">
        <f>IF(T79&lt;Year1,,IF(T79&lt;IF(AND(MONTH($N$14)&gt;=10,MONTH($N$14)&lt;=12),YEAR($N$14)+1,YEAR($N$14)),,IF(T79&gt;1,[1]Calculations!$W79/VLOOKUP(T79,Annual_Inputs,3,FALSE)/$Y$21*AA$21,0)))</f>
        <v>0</v>
      </c>
      <c r="AB79" s="168">
        <f>IF(U79&lt;Year1,,IF(U79&lt;IF(AND(MONTH($N$14)&gt;=10,MONTH($N$14)&lt;=12),YEAR($N$14)+1,YEAR($N$14)),,IF(U79&gt;1,[1]Calculations!$W79/VLOOKUP(U79,Annual_Inputs,3,FALSE)/$Y$21*AB$21,0)))</f>
        <v>0</v>
      </c>
      <c r="AC79" s="168">
        <f>IF(V79&lt;Year1,,IF(V79&lt;IF(AND(MONTH($N$14)&gt;=10,MONTH($N$14)&lt;=12),YEAR($N$14)+1,YEAR($N$14)),,IF(V79&gt;1,[1]Calculations!$W79/VLOOKUP(V79,Annual_Inputs,3,FALSE)/$Y$21*AC$21,0)))</f>
        <v>0</v>
      </c>
      <c r="AD79" s="169">
        <f>IF(W79&lt;Year1,,IF(W79&lt;IF(AND(MONTH($N$14)&gt;=10,MONTH($N$14)&lt;=12),YEAR($N$14)+1,YEAR($N$14)),,IF(W79&gt;1,[1]Calculations!$W79/VLOOKUP(W79,Annual_Inputs,3,FALSE)/$Y$21*AD$21,0)))</f>
        <v>0</v>
      </c>
      <c r="AE79" s="170">
        <f t="shared" si="7"/>
        <v>0</v>
      </c>
      <c r="AF79" s="177"/>
      <c r="AG79" s="83"/>
      <c r="AH79" s="83"/>
      <c r="AI79" s="83"/>
    </row>
    <row r="80" spans="1:35" ht="13.9" hidden="1" thickBot="1" x14ac:dyDescent="0.3">
      <c r="A80" s="84"/>
      <c r="B80" s="88"/>
      <c r="C80" s="90"/>
      <c r="D80" s="90"/>
      <c r="E80" s="204"/>
      <c r="F80" s="205"/>
      <c r="G80" s="206"/>
      <c r="H80" s="206"/>
      <c r="I80" s="153"/>
      <c r="J80" s="206"/>
      <c r="K80" s="206"/>
      <c r="L80" s="206"/>
      <c r="M80" s="83"/>
      <c r="N80" s="208">
        <f>[1]Calculations!R80</f>
        <v>0</v>
      </c>
      <c r="O80" s="164" t="str">
        <f>IF([1]Calculations!T80=1,"",[1]Calculations!T80)</f>
        <v/>
      </c>
      <c r="P80" s="164">
        <f>[1]Calculations!S80</f>
        <v>0</v>
      </c>
      <c r="Q80" s="165">
        <f t="shared" si="9"/>
        <v>0</v>
      </c>
      <c r="R80" s="166"/>
      <c r="S80" s="166"/>
      <c r="T80" s="166"/>
      <c r="U80" s="166"/>
      <c r="V80" s="166"/>
      <c r="W80" s="166"/>
      <c r="X80" s="84"/>
      <c r="Y80" s="167">
        <f>IF(R80&lt;Year1,,IF(R80&lt;IF(AND(MONTH($N$14)&gt;=10,MONTH($N$14)&lt;=12),YEAR($N$14)+1,YEAR($N$14)),,IF(R80&gt;1,[1]Calculations!$W80/VLOOKUP(R80,Annual_Inputs,3,FALSE),)))</f>
        <v>0</v>
      </c>
      <c r="Z80" s="168">
        <f>IF(S80&lt;Year1,,IF(S80&lt;IF(AND(MONTH($N$14)&gt;=10,MONTH($N$14)&lt;=12),YEAR($N$14)+1,YEAR($N$14)),,IF(S80&gt;1,[1]Calculations!$W80/VLOOKUP(S80,Annual_Inputs,3,FALSE)/$Y$21*Z$21,0)))</f>
        <v>0</v>
      </c>
      <c r="AA80" s="168">
        <f>IF(T80&lt;Year1,,IF(T80&lt;IF(AND(MONTH($N$14)&gt;=10,MONTH($N$14)&lt;=12),YEAR($N$14)+1,YEAR($N$14)),,IF(T80&gt;1,[1]Calculations!$W80/VLOOKUP(T80,Annual_Inputs,3,FALSE)/$Y$21*AA$21,0)))</f>
        <v>0</v>
      </c>
      <c r="AB80" s="168">
        <f>IF(U80&lt;Year1,,IF(U80&lt;IF(AND(MONTH($N$14)&gt;=10,MONTH($N$14)&lt;=12),YEAR($N$14)+1,YEAR($N$14)),,IF(U80&gt;1,[1]Calculations!$W80/VLOOKUP(U80,Annual_Inputs,3,FALSE)/$Y$21*AB$21,0)))</f>
        <v>0</v>
      </c>
      <c r="AC80" s="168">
        <f>IF(V80&lt;Year1,,IF(V80&lt;IF(AND(MONTH($N$14)&gt;=10,MONTH($N$14)&lt;=12),YEAR($N$14)+1,YEAR($N$14)),,IF(V80&gt;1,[1]Calculations!$W80/VLOOKUP(V80,Annual_Inputs,3,FALSE)/$Y$21*AC$21,0)))</f>
        <v>0</v>
      </c>
      <c r="AD80" s="169">
        <f>IF(W80&lt;Year1,,IF(W80&lt;IF(AND(MONTH($N$14)&gt;=10,MONTH($N$14)&lt;=12),YEAR($N$14)+1,YEAR($N$14)),,IF(W80&gt;1,[1]Calculations!$W80/VLOOKUP(W80,Annual_Inputs,3,FALSE)/$Y$21*AD$21,0)))</f>
        <v>0</v>
      </c>
      <c r="AE80" s="170">
        <f t="shared" si="7"/>
        <v>0</v>
      </c>
      <c r="AF80" s="177"/>
      <c r="AG80" s="83"/>
      <c r="AH80" s="83"/>
      <c r="AI80" s="83"/>
    </row>
    <row r="81" spans="1:35" ht="13.9" hidden="1" thickBot="1" x14ac:dyDescent="0.3">
      <c r="A81" s="84"/>
      <c r="B81" s="88"/>
      <c r="C81" s="90"/>
      <c r="D81" s="90"/>
      <c r="E81" s="204"/>
      <c r="F81" s="205"/>
      <c r="G81" s="206"/>
      <c r="H81" s="206"/>
      <c r="I81" s="153"/>
      <c r="J81" s="206"/>
      <c r="K81" s="206"/>
      <c r="L81" s="206"/>
      <c r="M81" s="83"/>
      <c r="N81" s="208">
        <f>[1]Calculations!R81</f>
        <v>0</v>
      </c>
      <c r="O81" s="164" t="str">
        <f>IF([1]Calculations!T81=1,"",[1]Calculations!T81)</f>
        <v/>
      </c>
      <c r="P81" s="164">
        <f>[1]Calculations!S81</f>
        <v>0</v>
      </c>
      <c r="Q81" s="165">
        <f t="shared" si="9"/>
        <v>0</v>
      </c>
      <c r="R81" s="166"/>
      <c r="S81" s="166"/>
      <c r="T81" s="166"/>
      <c r="U81" s="166"/>
      <c r="V81" s="166"/>
      <c r="W81" s="166"/>
      <c r="X81" s="84"/>
      <c r="Y81" s="167">
        <f>IF(R81&lt;Year1,,IF(R81&lt;IF(AND(MONTH($N$14)&gt;=10,MONTH($N$14)&lt;=12),YEAR($N$14)+1,YEAR($N$14)),,IF(R81&gt;1,[1]Calculations!$W81/VLOOKUP(R81,Annual_Inputs,3,FALSE),)))</f>
        <v>0</v>
      </c>
      <c r="Z81" s="168">
        <f>IF(S81&lt;Year1,,IF(S81&lt;IF(AND(MONTH($N$14)&gt;=10,MONTH($N$14)&lt;=12),YEAR($N$14)+1,YEAR($N$14)),,IF(S81&gt;1,[1]Calculations!$W81/VLOOKUP(S81,Annual_Inputs,3,FALSE)/$Y$21*Z$21,0)))</f>
        <v>0</v>
      </c>
      <c r="AA81" s="168">
        <f>IF(T81&lt;Year1,,IF(T81&lt;IF(AND(MONTH($N$14)&gt;=10,MONTH($N$14)&lt;=12),YEAR($N$14)+1,YEAR($N$14)),,IF(T81&gt;1,[1]Calculations!$W81/VLOOKUP(T81,Annual_Inputs,3,FALSE)/$Y$21*AA$21,0)))</f>
        <v>0</v>
      </c>
      <c r="AB81" s="168">
        <f>IF(U81&lt;Year1,,IF(U81&lt;IF(AND(MONTH($N$14)&gt;=10,MONTH($N$14)&lt;=12),YEAR($N$14)+1,YEAR($N$14)),,IF(U81&gt;1,[1]Calculations!$W81/VLOOKUP(U81,Annual_Inputs,3,FALSE)/$Y$21*AB$21,0)))</f>
        <v>0</v>
      </c>
      <c r="AC81" s="168">
        <f>IF(V81&lt;Year1,,IF(V81&lt;IF(AND(MONTH($N$14)&gt;=10,MONTH($N$14)&lt;=12),YEAR($N$14)+1,YEAR($N$14)),,IF(V81&gt;1,[1]Calculations!$W81/VLOOKUP(V81,Annual_Inputs,3,FALSE)/$Y$21*AC$21,0)))</f>
        <v>0</v>
      </c>
      <c r="AD81" s="169">
        <f>IF(W81&lt;Year1,,IF(W81&lt;IF(AND(MONTH($N$14)&gt;=10,MONTH($N$14)&lt;=12),YEAR($N$14)+1,YEAR($N$14)),,IF(W81&gt;1,[1]Calculations!$W81/VLOOKUP(W81,Annual_Inputs,3,FALSE)/$Y$21*AD$21,0)))</f>
        <v>0</v>
      </c>
      <c r="AE81" s="170">
        <f t="shared" si="7"/>
        <v>0</v>
      </c>
      <c r="AF81" s="177"/>
      <c r="AG81" s="83"/>
      <c r="AH81" s="83"/>
      <c r="AI81" s="83"/>
    </row>
    <row r="82" spans="1:35" ht="13.9" hidden="1" thickBot="1" x14ac:dyDescent="0.3">
      <c r="A82" s="84"/>
      <c r="B82" s="88"/>
      <c r="C82" s="90"/>
      <c r="D82" s="90"/>
      <c r="E82" s="204"/>
      <c r="F82" s="205"/>
      <c r="G82" s="206"/>
      <c r="H82" s="206"/>
      <c r="I82" s="153"/>
      <c r="J82" s="206"/>
      <c r="K82" s="206"/>
      <c r="L82" s="206"/>
      <c r="M82" s="83"/>
      <c r="N82" s="208">
        <f>[1]Calculations!R82</f>
        <v>0</v>
      </c>
      <c r="O82" s="164" t="str">
        <f>IF([1]Calculations!T82=1,"",[1]Calculations!T82)</f>
        <v/>
      </c>
      <c r="P82" s="164">
        <f>[1]Calculations!S82</f>
        <v>0</v>
      </c>
      <c r="Q82" s="165">
        <f t="shared" si="9"/>
        <v>0</v>
      </c>
      <c r="R82" s="166"/>
      <c r="S82" s="166"/>
      <c r="T82" s="166"/>
      <c r="U82" s="166"/>
      <c r="V82" s="166"/>
      <c r="W82" s="166"/>
      <c r="X82" s="84"/>
      <c r="Y82" s="167">
        <f>IF(R82&lt;Year1,,IF(R82&lt;IF(AND(MONTH($N$14)&gt;=10,MONTH($N$14)&lt;=12),YEAR($N$14)+1,YEAR($N$14)),,IF(R82&gt;1,[1]Calculations!$W82/VLOOKUP(R82,Annual_Inputs,3,FALSE),)))</f>
        <v>0</v>
      </c>
      <c r="Z82" s="168">
        <f>IF(S82&lt;Year1,,IF(S82&lt;IF(AND(MONTH($N$14)&gt;=10,MONTH($N$14)&lt;=12),YEAR($N$14)+1,YEAR($N$14)),,IF(S82&gt;1,[1]Calculations!$W82/VLOOKUP(S82,Annual_Inputs,3,FALSE)/$Y$21*Z$21,0)))</f>
        <v>0</v>
      </c>
      <c r="AA82" s="168">
        <f>IF(T82&lt;Year1,,IF(T82&lt;IF(AND(MONTH($N$14)&gt;=10,MONTH($N$14)&lt;=12),YEAR($N$14)+1,YEAR($N$14)),,IF(T82&gt;1,[1]Calculations!$W82/VLOOKUP(T82,Annual_Inputs,3,FALSE)/$Y$21*AA$21,0)))</f>
        <v>0</v>
      </c>
      <c r="AB82" s="168">
        <f>IF(U82&lt;Year1,,IF(U82&lt;IF(AND(MONTH($N$14)&gt;=10,MONTH($N$14)&lt;=12),YEAR($N$14)+1,YEAR($N$14)),,IF(U82&gt;1,[1]Calculations!$W82/VLOOKUP(U82,Annual_Inputs,3,FALSE)/$Y$21*AB$21,0)))</f>
        <v>0</v>
      </c>
      <c r="AC82" s="168">
        <f>IF(V82&lt;Year1,,IF(V82&lt;IF(AND(MONTH($N$14)&gt;=10,MONTH($N$14)&lt;=12),YEAR($N$14)+1,YEAR($N$14)),,IF(V82&gt;1,[1]Calculations!$W82/VLOOKUP(V82,Annual_Inputs,3,FALSE)/$Y$21*AC$21,0)))</f>
        <v>0</v>
      </c>
      <c r="AD82" s="169">
        <f>IF(W82&lt;Year1,,IF(W82&lt;IF(AND(MONTH($N$14)&gt;=10,MONTH($N$14)&lt;=12),YEAR($N$14)+1,YEAR($N$14)),,IF(W82&gt;1,[1]Calculations!$W82/VLOOKUP(W82,Annual_Inputs,3,FALSE)/$Y$21*AD$21,0)))</f>
        <v>0</v>
      </c>
      <c r="AE82" s="170">
        <f t="shared" si="7"/>
        <v>0</v>
      </c>
      <c r="AF82" s="177"/>
      <c r="AG82" s="83"/>
      <c r="AH82" s="83"/>
      <c r="AI82" s="83"/>
    </row>
    <row r="83" spans="1:35" ht="13.9" hidden="1" thickBot="1" x14ac:dyDescent="0.3">
      <c r="A83" s="84"/>
      <c r="B83" s="88"/>
      <c r="C83" s="90"/>
      <c r="D83" s="90"/>
      <c r="E83" s="204"/>
      <c r="F83" s="205"/>
      <c r="G83" s="206"/>
      <c r="H83" s="206"/>
      <c r="I83" s="153"/>
      <c r="J83" s="206"/>
      <c r="K83" s="206"/>
      <c r="L83" s="206"/>
      <c r="M83" s="83"/>
      <c r="N83" s="208">
        <f>[1]Calculations!R83</f>
        <v>0</v>
      </c>
      <c r="O83" s="164" t="str">
        <f>IF([1]Calculations!T83=1,"",[1]Calculations!T83)</f>
        <v/>
      </c>
      <c r="P83" s="164">
        <f>[1]Calculations!S83</f>
        <v>0</v>
      </c>
      <c r="Q83" s="165">
        <f t="shared" si="9"/>
        <v>0</v>
      </c>
      <c r="R83" s="166"/>
      <c r="S83" s="166"/>
      <c r="T83" s="166"/>
      <c r="U83" s="166"/>
      <c r="V83" s="166"/>
      <c r="W83" s="166"/>
      <c r="X83" s="84"/>
      <c r="Y83" s="167">
        <f>IF(R83&lt;Year1,,IF(R83&lt;IF(AND(MONTH($N$14)&gt;=10,MONTH($N$14)&lt;=12),YEAR($N$14)+1,YEAR($N$14)),,IF(R83&gt;1,[1]Calculations!$W83/VLOOKUP(R83,Annual_Inputs,3,FALSE),)))</f>
        <v>0</v>
      </c>
      <c r="Z83" s="168">
        <f>IF(S83&lt;Year1,,IF(S83&lt;IF(AND(MONTH($N$14)&gt;=10,MONTH($N$14)&lt;=12),YEAR($N$14)+1,YEAR($N$14)),,IF(S83&gt;1,[1]Calculations!$W83/VLOOKUP(S83,Annual_Inputs,3,FALSE)/$Y$21*Z$21,0)))</f>
        <v>0</v>
      </c>
      <c r="AA83" s="168">
        <f>IF(T83&lt;Year1,,IF(T83&lt;IF(AND(MONTH($N$14)&gt;=10,MONTH($N$14)&lt;=12),YEAR($N$14)+1,YEAR($N$14)),,IF(T83&gt;1,[1]Calculations!$W83/VLOOKUP(T83,Annual_Inputs,3,FALSE)/$Y$21*AA$21,0)))</f>
        <v>0</v>
      </c>
      <c r="AB83" s="168">
        <f>IF(U83&lt;Year1,,IF(U83&lt;IF(AND(MONTH($N$14)&gt;=10,MONTH($N$14)&lt;=12),YEAR($N$14)+1,YEAR($N$14)),,IF(U83&gt;1,[1]Calculations!$W83/VLOOKUP(U83,Annual_Inputs,3,FALSE)/$Y$21*AB$21,0)))</f>
        <v>0</v>
      </c>
      <c r="AC83" s="168">
        <f>IF(V83&lt;Year1,,IF(V83&lt;IF(AND(MONTH($N$14)&gt;=10,MONTH($N$14)&lt;=12),YEAR($N$14)+1,YEAR($N$14)),,IF(V83&gt;1,[1]Calculations!$W83/VLOOKUP(V83,Annual_Inputs,3,FALSE)/$Y$21*AC$21,0)))</f>
        <v>0</v>
      </c>
      <c r="AD83" s="169">
        <f>IF(W83&lt;Year1,,IF(W83&lt;IF(AND(MONTH($N$14)&gt;=10,MONTH($N$14)&lt;=12),YEAR($N$14)+1,YEAR($N$14)),,IF(W83&gt;1,[1]Calculations!$W83/VLOOKUP(W83,Annual_Inputs,3,FALSE)/$Y$21*AD$21,0)))</f>
        <v>0</v>
      </c>
      <c r="AE83" s="170">
        <f t="shared" si="7"/>
        <v>0</v>
      </c>
      <c r="AF83" s="177"/>
      <c r="AG83" s="83"/>
      <c r="AH83" s="83"/>
      <c r="AI83" s="83"/>
    </row>
    <row r="84" spans="1:35" ht="13.9" hidden="1" thickBot="1" x14ac:dyDescent="0.3">
      <c r="A84" s="84"/>
      <c r="B84" s="88"/>
      <c r="C84" s="90"/>
      <c r="D84" s="90"/>
      <c r="E84" s="204"/>
      <c r="F84" s="205"/>
      <c r="G84" s="206"/>
      <c r="H84" s="206"/>
      <c r="I84" s="153"/>
      <c r="J84" s="206"/>
      <c r="K84" s="206"/>
      <c r="L84" s="206"/>
      <c r="M84" s="83"/>
      <c r="N84" s="208">
        <f>[1]Calculations!R84</f>
        <v>0</v>
      </c>
      <c r="O84" s="164" t="str">
        <f>IF([1]Calculations!T84=1,"",[1]Calculations!T84)</f>
        <v/>
      </c>
      <c r="P84" s="164">
        <f>[1]Calculations!S84</f>
        <v>0</v>
      </c>
      <c r="Q84" s="165">
        <f t="shared" si="9"/>
        <v>0</v>
      </c>
      <c r="R84" s="166"/>
      <c r="S84" s="166"/>
      <c r="T84" s="166"/>
      <c r="U84" s="166"/>
      <c r="V84" s="166"/>
      <c r="W84" s="166"/>
      <c r="X84" s="84"/>
      <c r="Y84" s="167">
        <f>IF(R84&lt;Year1,,IF(R84&lt;IF(AND(MONTH($N$14)&gt;=10,MONTH($N$14)&lt;=12),YEAR($N$14)+1,YEAR($N$14)),,IF(R84&gt;1,[1]Calculations!$W84/VLOOKUP(R84,Annual_Inputs,3,FALSE),)))</f>
        <v>0</v>
      </c>
      <c r="Z84" s="168">
        <f>IF(S84&lt;Year1,,IF(S84&lt;IF(AND(MONTH($N$14)&gt;=10,MONTH($N$14)&lt;=12),YEAR($N$14)+1,YEAR($N$14)),,IF(S84&gt;1,[1]Calculations!$W84/VLOOKUP(S84,Annual_Inputs,3,FALSE)/$Y$21*Z$21,0)))</f>
        <v>0</v>
      </c>
      <c r="AA84" s="168">
        <f>IF(T84&lt;Year1,,IF(T84&lt;IF(AND(MONTH($N$14)&gt;=10,MONTH($N$14)&lt;=12),YEAR($N$14)+1,YEAR($N$14)),,IF(T84&gt;1,[1]Calculations!$W84/VLOOKUP(T84,Annual_Inputs,3,FALSE)/$Y$21*AA$21,0)))</f>
        <v>0</v>
      </c>
      <c r="AB84" s="168">
        <f>IF(U84&lt;Year1,,IF(U84&lt;IF(AND(MONTH($N$14)&gt;=10,MONTH($N$14)&lt;=12),YEAR($N$14)+1,YEAR($N$14)),,IF(U84&gt;1,[1]Calculations!$W84/VLOOKUP(U84,Annual_Inputs,3,FALSE)/$Y$21*AB$21,0)))</f>
        <v>0</v>
      </c>
      <c r="AC84" s="168">
        <f>IF(V84&lt;Year1,,IF(V84&lt;IF(AND(MONTH($N$14)&gt;=10,MONTH($N$14)&lt;=12),YEAR($N$14)+1,YEAR($N$14)),,IF(V84&gt;1,[1]Calculations!$W84/VLOOKUP(V84,Annual_Inputs,3,FALSE)/$Y$21*AC$21,0)))</f>
        <v>0</v>
      </c>
      <c r="AD84" s="169">
        <f>IF(W84&lt;Year1,,IF(W84&lt;IF(AND(MONTH($N$14)&gt;=10,MONTH($N$14)&lt;=12),YEAR($N$14)+1,YEAR($N$14)),,IF(W84&gt;1,[1]Calculations!$W84/VLOOKUP(W84,Annual_Inputs,3,FALSE)/$Y$21*AD$21,0)))</f>
        <v>0</v>
      </c>
      <c r="AE84" s="170">
        <f t="shared" si="7"/>
        <v>0</v>
      </c>
      <c r="AF84" s="177"/>
      <c r="AG84" s="83"/>
      <c r="AH84" s="83"/>
      <c r="AI84" s="83"/>
    </row>
    <row r="85" spans="1:35" ht="13.9" hidden="1" thickBot="1" x14ac:dyDescent="0.3">
      <c r="A85" s="84"/>
      <c r="B85" s="88"/>
      <c r="C85" s="90"/>
      <c r="D85" s="90"/>
      <c r="E85" s="204"/>
      <c r="F85" s="205"/>
      <c r="G85" s="206"/>
      <c r="H85" s="206"/>
      <c r="I85" s="153"/>
      <c r="J85" s="206"/>
      <c r="K85" s="206"/>
      <c r="L85" s="206"/>
      <c r="M85" s="83"/>
      <c r="N85" s="208">
        <f>[1]Calculations!R85</f>
        <v>0</v>
      </c>
      <c r="O85" s="164" t="str">
        <f>IF([1]Calculations!T85=1,"",[1]Calculations!T85)</f>
        <v/>
      </c>
      <c r="P85" s="164">
        <f>[1]Calculations!S85</f>
        <v>0</v>
      </c>
      <c r="Q85" s="165">
        <f t="shared" si="9"/>
        <v>0</v>
      </c>
      <c r="R85" s="166"/>
      <c r="S85" s="166"/>
      <c r="T85" s="166"/>
      <c r="U85" s="166"/>
      <c r="V85" s="166"/>
      <c r="W85" s="166"/>
      <c r="X85" s="84"/>
      <c r="Y85" s="167">
        <f>IF(R85&lt;Year1,,IF(R85&lt;IF(AND(MONTH($N$14)&gt;=10,MONTH($N$14)&lt;=12),YEAR($N$14)+1,YEAR($N$14)),,IF(R85&gt;1,[1]Calculations!$W85/VLOOKUP(R85,Annual_Inputs,3,FALSE),)))</f>
        <v>0</v>
      </c>
      <c r="Z85" s="168">
        <f>IF(S85&lt;Year1,,IF(S85&lt;IF(AND(MONTH($N$14)&gt;=10,MONTH($N$14)&lt;=12),YEAR($N$14)+1,YEAR($N$14)),,IF(S85&gt;1,[1]Calculations!$W85/VLOOKUP(S85,Annual_Inputs,3,FALSE)/$Y$21*Z$21,0)))</f>
        <v>0</v>
      </c>
      <c r="AA85" s="168">
        <f>IF(T85&lt;Year1,,IF(T85&lt;IF(AND(MONTH($N$14)&gt;=10,MONTH($N$14)&lt;=12),YEAR($N$14)+1,YEAR($N$14)),,IF(T85&gt;1,[1]Calculations!$W85/VLOOKUP(T85,Annual_Inputs,3,FALSE)/$Y$21*AA$21,0)))</f>
        <v>0</v>
      </c>
      <c r="AB85" s="168">
        <f>IF(U85&lt;Year1,,IF(U85&lt;IF(AND(MONTH($N$14)&gt;=10,MONTH($N$14)&lt;=12),YEAR($N$14)+1,YEAR($N$14)),,IF(U85&gt;1,[1]Calculations!$W85/VLOOKUP(U85,Annual_Inputs,3,FALSE)/$Y$21*AB$21,0)))</f>
        <v>0</v>
      </c>
      <c r="AC85" s="168">
        <f>IF(V85&lt;Year1,,IF(V85&lt;IF(AND(MONTH($N$14)&gt;=10,MONTH($N$14)&lt;=12),YEAR($N$14)+1,YEAR($N$14)),,IF(V85&gt;1,[1]Calculations!$W85/VLOOKUP(V85,Annual_Inputs,3,FALSE)/$Y$21*AC$21,0)))</f>
        <v>0</v>
      </c>
      <c r="AD85" s="169">
        <f>IF(W85&lt;Year1,,IF(W85&lt;IF(AND(MONTH($N$14)&gt;=10,MONTH($N$14)&lt;=12),YEAR($N$14)+1,YEAR($N$14)),,IF(W85&gt;1,[1]Calculations!$W85/VLOOKUP(W85,Annual_Inputs,3,FALSE)/$Y$21*AD$21,0)))</f>
        <v>0</v>
      </c>
      <c r="AE85" s="170">
        <f t="shared" si="7"/>
        <v>0</v>
      </c>
      <c r="AF85" s="177"/>
      <c r="AG85" s="83"/>
      <c r="AH85" s="83"/>
      <c r="AI85" s="83"/>
    </row>
    <row r="86" spans="1:35" ht="13.9" hidden="1" thickBot="1" x14ac:dyDescent="0.3">
      <c r="A86" s="84"/>
      <c r="B86" s="88"/>
      <c r="C86" s="90"/>
      <c r="D86" s="90"/>
      <c r="E86" s="204"/>
      <c r="F86" s="205"/>
      <c r="G86" s="206"/>
      <c r="H86" s="206"/>
      <c r="I86" s="153"/>
      <c r="J86" s="206"/>
      <c r="K86" s="206"/>
      <c r="L86" s="206"/>
      <c r="M86" s="83"/>
      <c r="N86" s="208">
        <f>[1]Calculations!R86</f>
        <v>0</v>
      </c>
      <c r="O86" s="164" t="str">
        <f>IF([1]Calculations!T86=1,"",[1]Calculations!T86)</f>
        <v/>
      </c>
      <c r="P86" s="164">
        <f>[1]Calculations!S86</f>
        <v>0</v>
      </c>
      <c r="Q86" s="165">
        <f t="shared" si="9"/>
        <v>0</v>
      </c>
      <c r="R86" s="166"/>
      <c r="S86" s="166"/>
      <c r="T86" s="166"/>
      <c r="U86" s="166"/>
      <c r="V86" s="166"/>
      <c r="W86" s="166"/>
      <c r="X86" s="84"/>
      <c r="Y86" s="167">
        <f>IF(R86&lt;Year1,,IF(R86&lt;IF(AND(MONTH($N$14)&gt;=10,MONTH($N$14)&lt;=12),YEAR($N$14)+1,YEAR($N$14)),,IF(R86&gt;1,[1]Calculations!$W86/VLOOKUP(R86,Annual_Inputs,3,FALSE),)))</f>
        <v>0</v>
      </c>
      <c r="Z86" s="168">
        <f>IF(S86&lt;Year1,,IF(S86&lt;IF(AND(MONTH($N$14)&gt;=10,MONTH($N$14)&lt;=12),YEAR($N$14)+1,YEAR($N$14)),,IF(S86&gt;1,[1]Calculations!$W86/VLOOKUP(S86,Annual_Inputs,3,FALSE)/$Y$21*Z$21,0)))</f>
        <v>0</v>
      </c>
      <c r="AA86" s="168">
        <f>IF(T86&lt;Year1,,IF(T86&lt;IF(AND(MONTH($N$14)&gt;=10,MONTH($N$14)&lt;=12),YEAR($N$14)+1,YEAR($N$14)),,IF(T86&gt;1,[1]Calculations!$W86/VLOOKUP(T86,Annual_Inputs,3,FALSE)/$Y$21*AA$21,0)))</f>
        <v>0</v>
      </c>
      <c r="AB86" s="168">
        <f>IF(U86&lt;Year1,,IF(U86&lt;IF(AND(MONTH($N$14)&gt;=10,MONTH($N$14)&lt;=12),YEAR($N$14)+1,YEAR($N$14)),,IF(U86&gt;1,[1]Calculations!$W86/VLOOKUP(U86,Annual_Inputs,3,FALSE)/$Y$21*AB$21,0)))</f>
        <v>0</v>
      </c>
      <c r="AC86" s="168">
        <f>IF(V86&lt;Year1,,IF(V86&lt;IF(AND(MONTH($N$14)&gt;=10,MONTH($N$14)&lt;=12),YEAR($N$14)+1,YEAR($N$14)),,IF(V86&gt;1,[1]Calculations!$W86/VLOOKUP(V86,Annual_Inputs,3,FALSE)/$Y$21*AC$21,0)))</f>
        <v>0</v>
      </c>
      <c r="AD86" s="169">
        <f>IF(W86&lt;Year1,,IF(W86&lt;IF(AND(MONTH($N$14)&gt;=10,MONTH($N$14)&lt;=12),YEAR($N$14)+1,YEAR($N$14)),,IF(W86&gt;1,[1]Calculations!$W86/VLOOKUP(W86,Annual_Inputs,3,FALSE)/$Y$21*AD$21,0)))</f>
        <v>0</v>
      </c>
      <c r="AE86" s="170">
        <f t="shared" si="7"/>
        <v>0</v>
      </c>
      <c r="AF86" s="177"/>
      <c r="AG86" s="83"/>
      <c r="AH86" s="83"/>
      <c r="AI86" s="83"/>
    </row>
    <row r="87" spans="1:35" ht="13.9" hidden="1" thickBot="1" x14ac:dyDescent="0.3">
      <c r="A87" s="84"/>
      <c r="B87" s="88"/>
      <c r="C87" s="90"/>
      <c r="D87" s="90"/>
      <c r="E87" s="204"/>
      <c r="F87" s="205"/>
      <c r="G87" s="206"/>
      <c r="H87" s="206"/>
      <c r="I87" s="153"/>
      <c r="J87" s="206"/>
      <c r="K87" s="206"/>
      <c r="L87" s="206"/>
      <c r="M87" s="83"/>
      <c r="N87" s="208">
        <f>[1]Calculations!R87</f>
        <v>0</v>
      </c>
      <c r="O87" s="164" t="str">
        <f>IF([1]Calculations!T87=1,"",[1]Calculations!T87)</f>
        <v/>
      </c>
      <c r="P87" s="164">
        <f>[1]Calculations!S87</f>
        <v>0</v>
      </c>
      <c r="Q87" s="165">
        <f t="shared" si="9"/>
        <v>0</v>
      </c>
      <c r="R87" s="166"/>
      <c r="S87" s="166"/>
      <c r="T87" s="166"/>
      <c r="U87" s="166"/>
      <c r="V87" s="166"/>
      <c r="W87" s="166"/>
      <c r="X87" s="84">
        <v>2012</v>
      </c>
      <c r="Y87" s="167">
        <f>IF(R87&lt;Year1,,IF(R87&lt;IF(AND(MONTH($N$14)&gt;=10,MONTH($N$14)&lt;=12),YEAR($N$14)+1,YEAR($N$14)),,IF(R87&gt;1,[1]Calculations!$W87/VLOOKUP(R87,Annual_Inputs,3,FALSE),)))</f>
        <v>0</v>
      </c>
      <c r="Z87" s="168">
        <f>IF(S87&lt;Year1,,IF(S87&lt;IF(AND(MONTH($N$14)&gt;=10,MONTH($N$14)&lt;=12),YEAR($N$14)+1,YEAR($N$14)),,IF(S87&gt;1,[1]Calculations!$W87/VLOOKUP(S87,Annual_Inputs,3,FALSE)/$Y$21*Z$21,0)))</f>
        <v>0</v>
      </c>
      <c r="AA87" s="168">
        <f>IF(T87&lt;Year1,,IF(T87&lt;IF(AND(MONTH($N$14)&gt;=10,MONTH($N$14)&lt;=12),YEAR($N$14)+1,YEAR($N$14)),,IF(T87&gt;1,[1]Calculations!$W87/VLOOKUP(T87,Annual_Inputs,3,FALSE)/$Y$21*AA$21,0)))</f>
        <v>0</v>
      </c>
      <c r="AB87" s="168">
        <f>IF(U87&lt;Year1,,IF(U87&lt;IF(AND(MONTH($N$14)&gt;=10,MONTH($N$14)&lt;=12),YEAR($N$14)+1,YEAR($N$14)),,IF(U87&gt;1,[1]Calculations!$W87/VLOOKUP(U87,Annual_Inputs,3,FALSE)/$Y$21*AB$21,0)))</f>
        <v>0</v>
      </c>
      <c r="AC87" s="168">
        <f>IF(V87&lt;Year1,,IF(V87&lt;IF(AND(MONTH($N$14)&gt;=10,MONTH($N$14)&lt;=12),YEAR($N$14)+1,YEAR($N$14)),,IF(V87&gt;1,[1]Calculations!$W87/VLOOKUP(V87,Annual_Inputs,3,FALSE)/$Y$21*AC$21,0)))</f>
        <v>0</v>
      </c>
      <c r="AD87" s="169">
        <f>IF(W87&lt;Year1,,IF(W87&lt;IF(AND(MONTH($N$14)&gt;=10,MONTH($N$14)&lt;=12),YEAR($N$14)+1,YEAR($N$14)),,IF(W87&gt;1,[1]Calculations!$W87/VLOOKUP(W87,Annual_Inputs,3,FALSE)/$Y$21*AD$21,0)))</f>
        <v>0</v>
      </c>
      <c r="AE87" s="170">
        <f>SUM(Y87:AD87)</f>
        <v>0</v>
      </c>
      <c r="AF87" s="177"/>
      <c r="AG87" s="83"/>
      <c r="AH87" s="83"/>
      <c r="AI87" s="83"/>
    </row>
    <row r="88" spans="1:35" ht="13.9" hidden="1" thickBot="1" x14ac:dyDescent="0.3">
      <c r="A88" s="84"/>
      <c r="B88" s="88"/>
      <c r="C88" s="90"/>
      <c r="D88" s="90"/>
      <c r="E88" s="204"/>
      <c r="F88" s="205"/>
      <c r="G88" s="206"/>
      <c r="H88" s="206"/>
      <c r="I88" s="153"/>
      <c r="J88" s="206"/>
      <c r="K88" s="206"/>
      <c r="L88" s="206"/>
      <c r="M88" s="83"/>
      <c r="N88" s="208">
        <f>[1]Calculations!R88</f>
        <v>0</v>
      </c>
      <c r="O88" s="164" t="str">
        <f>IF([1]Calculations!T88=1,"",[1]Calculations!T88)</f>
        <v/>
      </c>
      <c r="P88" s="164">
        <f>[1]Calculations!S88</f>
        <v>0</v>
      </c>
      <c r="Q88" s="165">
        <f t="shared" ref="Q88" si="11">P88</f>
        <v>0</v>
      </c>
      <c r="R88" s="166"/>
      <c r="S88" s="166"/>
      <c r="T88" s="166"/>
      <c r="U88" s="166"/>
      <c r="V88" s="166"/>
      <c r="W88" s="166"/>
      <c r="X88" s="84">
        <v>2012</v>
      </c>
      <c r="Y88" s="209">
        <f>IF(R88&lt;Year1,,IF(R88&lt;IF(AND(MONTH($N$14)&gt;=10,MONTH($N$14)&lt;=12),YEAR($N$14)+1,YEAR($N$14)),,IF(R88&gt;1,[1]Calculations!$W88/VLOOKUP(R88,Annual_Inputs,3,FALSE),)))</f>
        <v>0</v>
      </c>
      <c r="Z88" s="210">
        <f>IF(S88&lt;Year1,,IF(S88&lt;IF(AND(MONTH($N$14)&gt;=10,MONTH($N$14)&lt;=12),YEAR($N$14)+1,YEAR($N$14)),,IF(S88&gt;1,[1]Calculations!$W88/VLOOKUP(S88,Annual_Inputs,3,FALSE)/$Y$21*Z$21,0)))</f>
        <v>0</v>
      </c>
      <c r="AA88" s="210">
        <f>IF(T88&lt;Year1,,IF(T88&lt;IF(AND(MONTH($N$14)&gt;=10,MONTH($N$14)&lt;=12),YEAR($N$14)+1,YEAR($N$14)),,IF(T88&gt;1,[1]Calculations!$W88/VLOOKUP(T88,Annual_Inputs,3,FALSE)/$Y$21*AA$21,0)))</f>
        <v>0</v>
      </c>
      <c r="AB88" s="210">
        <f>IF(U88&lt;Year1,,IF(U88&lt;IF(AND(MONTH($N$14)&gt;=10,MONTH($N$14)&lt;=12),YEAR($N$14)+1,YEAR($N$14)),,IF(U88&gt;1,[1]Calculations!$W88/VLOOKUP(U88,Annual_Inputs,3,FALSE)/$Y$21*AB$21,0)))</f>
        <v>0</v>
      </c>
      <c r="AC88" s="210">
        <f>IF(V88&lt;Year1,,IF(V88&lt;IF(AND(MONTH($N$14)&gt;=10,MONTH($N$14)&lt;=12),YEAR($N$14)+1,YEAR($N$14)),,IF(V88&gt;1,[1]Calculations!$W88/VLOOKUP(V88,Annual_Inputs,3,FALSE)/$Y$21*AC$21,0)))</f>
        <v>0</v>
      </c>
      <c r="AD88" s="211">
        <f>IF(W88&lt;Year1,,IF(W88&lt;IF(AND(MONTH($N$14)&gt;=10,MONTH($N$14)&lt;=12),YEAR($N$14)+1,YEAR($N$14)),,IF(W88&gt;1,[1]Calculations!$W88/VLOOKUP(W88,Annual_Inputs,3,FALSE)/$Y$21*AD$21,0)))</f>
        <v>0</v>
      </c>
      <c r="AE88" s="212">
        <f>SUM(Y88:AD88)</f>
        <v>0</v>
      </c>
      <c r="AF88" s="177"/>
      <c r="AG88" s="83"/>
      <c r="AH88" s="83"/>
      <c r="AI88" s="83"/>
    </row>
    <row r="89" spans="1:35" ht="13.5" thickBot="1" x14ac:dyDescent="0.25">
      <c r="A89" s="84"/>
      <c r="B89" s="88"/>
      <c r="C89" s="89"/>
      <c r="D89" s="90"/>
      <c r="E89" s="204"/>
      <c r="F89" s="205"/>
      <c r="G89" s="206"/>
      <c r="H89" s="206"/>
      <c r="I89" s="153"/>
      <c r="J89" s="206"/>
      <c r="K89" s="206"/>
      <c r="L89" s="206"/>
      <c r="M89" s="83"/>
      <c r="N89" s="335" t="s">
        <v>54</v>
      </c>
      <c r="O89" s="336"/>
      <c r="P89" s="336"/>
      <c r="Q89" s="336"/>
      <c r="R89" s="336"/>
      <c r="S89" s="336"/>
      <c r="T89" s="336"/>
      <c r="U89" s="336"/>
      <c r="V89" s="336"/>
      <c r="W89" s="337"/>
      <c r="X89" s="84"/>
      <c r="Y89" s="338" t="s">
        <v>200</v>
      </c>
      <c r="Z89" s="339"/>
      <c r="AA89" s="339"/>
      <c r="AB89" s="339"/>
      <c r="AC89" s="339"/>
      <c r="AD89" s="339"/>
      <c r="AE89" s="340"/>
      <c r="AF89" s="177"/>
      <c r="AG89" s="83"/>
      <c r="AH89" s="83"/>
      <c r="AI89" s="83"/>
    </row>
    <row r="90" spans="1:35" x14ac:dyDescent="0.2">
      <c r="A90" s="84"/>
      <c r="B90" s="88"/>
      <c r="C90" s="89"/>
      <c r="D90" s="213"/>
      <c r="M90" s="207"/>
      <c r="N90" s="347" t="s">
        <v>201</v>
      </c>
      <c r="O90" s="348"/>
      <c r="P90" s="348"/>
      <c r="Q90" s="348"/>
      <c r="R90" s="348"/>
      <c r="S90" s="348"/>
      <c r="T90" s="348"/>
      <c r="U90" s="349"/>
      <c r="V90" s="356" t="s">
        <v>202</v>
      </c>
      <c r="W90" s="359" t="s">
        <v>203</v>
      </c>
      <c r="X90" s="84"/>
      <c r="Y90" s="341"/>
      <c r="Z90" s="342"/>
      <c r="AA90" s="342"/>
      <c r="AB90" s="342"/>
      <c r="AC90" s="342"/>
      <c r="AD90" s="342"/>
      <c r="AE90" s="343"/>
      <c r="AF90" s="177"/>
      <c r="AG90" s="83"/>
      <c r="AH90" s="83"/>
      <c r="AI90" s="83"/>
    </row>
    <row r="91" spans="1:35" x14ac:dyDescent="0.2">
      <c r="A91" s="84"/>
      <c r="B91" s="88"/>
      <c r="C91" s="89"/>
      <c r="D91" s="90"/>
      <c r="M91" s="83"/>
      <c r="N91" s="350"/>
      <c r="O91" s="351"/>
      <c r="P91" s="351"/>
      <c r="Q91" s="351"/>
      <c r="R91" s="351"/>
      <c r="S91" s="351"/>
      <c r="T91" s="351"/>
      <c r="U91" s="352"/>
      <c r="V91" s="357"/>
      <c r="W91" s="360"/>
      <c r="X91" s="84"/>
      <c r="Y91" s="341"/>
      <c r="Z91" s="342"/>
      <c r="AA91" s="342"/>
      <c r="AB91" s="342"/>
      <c r="AC91" s="342"/>
      <c r="AD91" s="342"/>
      <c r="AE91" s="343"/>
      <c r="AF91" s="177"/>
      <c r="AG91" s="83"/>
      <c r="AH91" s="83"/>
      <c r="AI91" s="83"/>
    </row>
    <row r="92" spans="1:35" ht="13.5" thickBot="1" x14ac:dyDescent="0.25">
      <c r="A92" s="84"/>
      <c r="B92" s="88"/>
      <c r="C92" s="89"/>
      <c r="D92" s="90"/>
      <c r="M92" s="83"/>
      <c r="N92" s="353"/>
      <c r="O92" s="354"/>
      <c r="P92" s="354"/>
      <c r="Q92" s="354"/>
      <c r="R92" s="354"/>
      <c r="S92" s="354"/>
      <c r="T92" s="354"/>
      <c r="U92" s="355"/>
      <c r="V92" s="358"/>
      <c r="W92" s="361"/>
      <c r="X92" s="84"/>
      <c r="Y92" s="344"/>
      <c r="Z92" s="345"/>
      <c r="AA92" s="345"/>
      <c r="AB92" s="345"/>
      <c r="AC92" s="345"/>
      <c r="AD92" s="345"/>
      <c r="AE92" s="346"/>
      <c r="AF92" s="177"/>
      <c r="AG92" s="83"/>
      <c r="AH92" s="83"/>
      <c r="AI92" s="83"/>
    </row>
    <row r="93" spans="1:35" x14ac:dyDescent="0.2">
      <c r="A93" s="84"/>
      <c r="B93" s="88"/>
      <c r="C93" s="89"/>
      <c r="D93" s="90"/>
      <c r="M93" s="83"/>
      <c r="N93" s="214" t="s">
        <v>204</v>
      </c>
      <c r="O93" s="215"/>
      <c r="P93" s="215"/>
      <c r="Q93" s="215"/>
      <c r="R93" s="215"/>
      <c r="S93" s="215"/>
      <c r="T93" s="215"/>
      <c r="U93" s="216"/>
      <c r="V93" s="217">
        <v>7</v>
      </c>
      <c r="W93" s="166">
        <v>2017</v>
      </c>
      <c r="X93" s="84"/>
      <c r="Y93" s="218"/>
      <c r="Z93" s="219"/>
      <c r="AA93" s="219"/>
      <c r="AB93" s="219"/>
      <c r="AC93" s="219"/>
      <c r="AD93" s="220"/>
      <c r="AE93" s="169">
        <f t="shared" ref="AE93:AE112" si="12">IF(W93&lt;Year1,,IF(W93&lt;IF(AND(MONTH($N$14)&gt;=10,MONTH($N$14)&lt;=12),YEAR($N$14)+1,YEAR($N$14)),,IF(W93&gt;1,V93,0)))</f>
        <v>7</v>
      </c>
      <c r="AF93" s="177"/>
      <c r="AG93" s="83"/>
      <c r="AH93" s="83"/>
      <c r="AI93" s="83"/>
    </row>
    <row r="94" spans="1:35" x14ac:dyDescent="0.2">
      <c r="A94" s="84"/>
      <c r="B94" s="88"/>
      <c r="C94" s="89"/>
      <c r="D94" s="90"/>
      <c r="M94" s="83"/>
      <c r="N94" s="221" t="s">
        <v>205</v>
      </c>
      <c r="O94" s="222"/>
      <c r="P94" s="222"/>
      <c r="Q94" s="222"/>
      <c r="R94" s="222"/>
      <c r="S94" s="222"/>
      <c r="T94" s="222"/>
      <c r="U94" s="223"/>
      <c r="V94" s="224">
        <v>14</v>
      </c>
      <c r="W94" s="166">
        <v>2018</v>
      </c>
      <c r="X94" s="84"/>
      <c r="Y94" s="225"/>
      <c r="Z94" s="226"/>
      <c r="AA94" s="226"/>
      <c r="AB94" s="226"/>
      <c r="AC94" s="226"/>
      <c r="AD94" s="227"/>
      <c r="AE94" s="169">
        <f t="shared" si="12"/>
        <v>14</v>
      </c>
      <c r="AF94" s="177"/>
      <c r="AG94" s="83"/>
      <c r="AH94" s="83"/>
      <c r="AI94" s="83"/>
    </row>
    <row r="95" spans="1:35" x14ac:dyDescent="0.2">
      <c r="A95" s="84"/>
      <c r="B95" s="88"/>
      <c r="C95" s="89"/>
      <c r="D95" s="90"/>
      <c r="M95" s="83"/>
      <c r="N95" s="214" t="s">
        <v>206</v>
      </c>
      <c r="O95" s="215"/>
      <c r="P95" s="215"/>
      <c r="Q95" s="215"/>
      <c r="R95" s="215"/>
      <c r="S95" s="215"/>
      <c r="T95" s="215"/>
      <c r="U95" s="216"/>
      <c r="V95" s="217">
        <v>5</v>
      </c>
      <c r="W95" s="166">
        <v>2018</v>
      </c>
      <c r="X95" s="84"/>
      <c r="Y95" s="218"/>
      <c r="Z95" s="219"/>
      <c r="AA95" s="219"/>
      <c r="AB95" s="219"/>
      <c r="AC95" s="219"/>
      <c r="AD95" s="220"/>
      <c r="AE95" s="169">
        <f t="shared" si="12"/>
        <v>5</v>
      </c>
      <c r="AF95" s="177"/>
      <c r="AG95" s="83"/>
      <c r="AH95" s="83"/>
      <c r="AI95" s="83"/>
    </row>
    <row r="96" spans="1:35" x14ac:dyDescent="0.2">
      <c r="A96" s="84"/>
      <c r="B96" s="88"/>
      <c r="C96" s="89"/>
      <c r="D96" s="90"/>
      <c r="M96" s="83"/>
      <c r="N96" s="214" t="s">
        <v>204</v>
      </c>
      <c r="O96" s="222"/>
      <c r="P96" s="222"/>
      <c r="Q96" s="222"/>
      <c r="R96" s="222"/>
      <c r="S96" s="222"/>
      <c r="T96" s="222"/>
      <c r="U96" s="223"/>
      <c r="V96" s="224">
        <v>7</v>
      </c>
      <c r="W96" s="166">
        <v>2018</v>
      </c>
      <c r="X96" s="84"/>
      <c r="Y96" s="225"/>
      <c r="Z96" s="226"/>
      <c r="AA96" s="226"/>
      <c r="AB96" s="226"/>
      <c r="AC96" s="226"/>
      <c r="AD96" s="227"/>
      <c r="AE96" s="169">
        <f t="shared" si="12"/>
        <v>7</v>
      </c>
      <c r="AF96" s="177"/>
      <c r="AG96" s="83"/>
      <c r="AH96" s="83"/>
      <c r="AI96" s="83"/>
    </row>
    <row r="97" spans="1:46" x14ac:dyDescent="0.2">
      <c r="A97" s="84"/>
      <c r="B97" s="88"/>
      <c r="C97" s="89"/>
      <c r="D97" s="90"/>
      <c r="M97" s="83"/>
      <c r="N97" s="221" t="s">
        <v>206</v>
      </c>
      <c r="O97" s="222"/>
      <c r="P97" s="222"/>
      <c r="Q97" s="222"/>
      <c r="R97" s="222"/>
      <c r="S97" s="222"/>
      <c r="T97" s="222"/>
      <c r="U97" s="223"/>
      <c r="V97" s="224">
        <v>5</v>
      </c>
      <c r="W97" s="166">
        <v>2019</v>
      </c>
      <c r="X97" s="84"/>
      <c r="Y97" s="228"/>
      <c r="Z97" s="229"/>
      <c r="AA97" s="229"/>
      <c r="AB97" s="229"/>
      <c r="AC97" s="229"/>
      <c r="AD97" s="230"/>
      <c r="AE97" s="169">
        <f t="shared" si="12"/>
        <v>5</v>
      </c>
      <c r="AF97" s="177"/>
      <c r="AG97" s="83"/>
      <c r="AH97" s="83"/>
      <c r="AI97" s="83"/>
    </row>
    <row r="98" spans="1:46" x14ac:dyDescent="0.2">
      <c r="A98" s="84"/>
      <c r="B98" s="88"/>
      <c r="C98" s="89"/>
      <c r="D98" s="90"/>
      <c r="M98" s="83"/>
      <c r="N98" s="214" t="s">
        <v>204</v>
      </c>
      <c r="O98" s="222"/>
      <c r="P98" s="222"/>
      <c r="Q98" s="222"/>
      <c r="R98" s="222"/>
      <c r="S98" s="222"/>
      <c r="T98" s="222"/>
      <c r="U98" s="223"/>
      <c r="V98" s="224">
        <v>7</v>
      </c>
      <c r="W98" s="166">
        <v>2019</v>
      </c>
      <c r="X98" s="84"/>
      <c r="Y98" s="225"/>
      <c r="Z98" s="226"/>
      <c r="AA98" s="226"/>
      <c r="AB98" s="226"/>
      <c r="AC98" s="226"/>
      <c r="AD98" s="227"/>
      <c r="AE98" s="169">
        <f t="shared" si="12"/>
        <v>7</v>
      </c>
      <c r="AF98" s="177"/>
      <c r="AG98" s="83"/>
      <c r="AH98" s="83"/>
      <c r="AI98" s="83"/>
    </row>
    <row r="99" spans="1:46" x14ac:dyDescent="0.2">
      <c r="A99" s="84"/>
      <c r="B99" s="88"/>
      <c r="C99" s="89"/>
      <c r="D99" s="90"/>
      <c r="M99" s="83"/>
      <c r="N99" s="214" t="s">
        <v>207</v>
      </c>
      <c r="O99" s="222"/>
      <c r="P99" s="222"/>
      <c r="Q99" s="222"/>
      <c r="R99" s="222"/>
      <c r="S99" s="222"/>
      <c r="T99" s="222"/>
      <c r="U99" s="223"/>
      <c r="V99" s="224">
        <v>80</v>
      </c>
      <c r="W99" s="166">
        <v>2019</v>
      </c>
      <c r="X99" s="84"/>
      <c r="Y99" s="228"/>
      <c r="Z99" s="229"/>
      <c r="AA99" s="229"/>
      <c r="AB99" s="229"/>
      <c r="AC99" s="229"/>
      <c r="AD99" s="230"/>
      <c r="AE99" s="169">
        <f t="shared" si="12"/>
        <v>80</v>
      </c>
      <c r="AF99" s="177"/>
      <c r="AG99" s="83"/>
      <c r="AH99" s="83"/>
      <c r="AI99" s="83"/>
      <c r="AT99" s="231"/>
    </row>
    <row r="100" spans="1:46" ht="12.75" customHeight="1" x14ac:dyDescent="0.2">
      <c r="A100" s="84"/>
      <c r="B100" s="88"/>
      <c r="C100" s="89"/>
      <c r="D100" s="90"/>
      <c r="M100" s="83"/>
      <c r="N100" s="221"/>
      <c r="O100" s="222"/>
      <c r="P100" s="222"/>
      <c r="Q100" s="222"/>
      <c r="R100" s="222"/>
      <c r="S100" s="222"/>
      <c r="T100" s="222"/>
      <c r="U100" s="223"/>
      <c r="V100" s="224"/>
      <c r="W100" s="166"/>
      <c r="X100" s="84"/>
      <c r="Y100" s="228"/>
      <c r="Z100" s="229"/>
      <c r="AA100" s="229"/>
      <c r="AB100" s="229"/>
      <c r="AC100" s="229"/>
      <c r="AD100" s="230"/>
      <c r="AE100" s="169">
        <f t="shared" si="12"/>
        <v>0</v>
      </c>
      <c r="AF100" s="177"/>
      <c r="AG100" s="83"/>
      <c r="AH100" s="83"/>
      <c r="AI100" s="83"/>
    </row>
    <row r="101" spans="1:46" ht="12.75" customHeight="1" x14ac:dyDescent="0.2">
      <c r="A101" s="84"/>
      <c r="B101" s="88"/>
      <c r="C101" s="89"/>
      <c r="D101" s="90"/>
      <c r="F101" s="118"/>
      <c r="K101" s="118"/>
      <c r="L101" s="232"/>
      <c r="N101" s="214"/>
      <c r="O101" s="222"/>
      <c r="P101" s="222"/>
      <c r="Q101" s="222"/>
      <c r="R101" s="222"/>
      <c r="S101" s="222"/>
      <c r="T101" s="222"/>
      <c r="U101" s="223"/>
      <c r="V101" s="224"/>
      <c r="W101" s="166"/>
      <c r="X101" s="84"/>
      <c r="Y101" s="228"/>
      <c r="Z101" s="229"/>
      <c r="AA101" s="229"/>
      <c r="AB101" s="229"/>
      <c r="AC101" s="229"/>
      <c r="AD101" s="230"/>
      <c r="AE101" s="169">
        <f t="shared" si="12"/>
        <v>0</v>
      </c>
      <c r="AF101" s="177"/>
    </row>
    <row r="102" spans="1:46" ht="12.75" customHeight="1" x14ac:dyDescent="0.2">
      <c r="A102" s="84"/>
      <c r="B102" s="88"/>
      <c r="C102" s="89"/>
      <c r="D102" s="90"/>
      <c r="F102" s="118"/>
      <c r="L102" s="232"/>
      <c r="N102" s="221"/>
      <c r="O102" s="222"/>
      <c r="P102" s="222"/>
      <c r="Q102" s="222"/>
      <c r="R102" s="222"/>
      <c r="S102" s="222"/>
      <c r="T102" s="222"/>
      <c r="U102" s="223"/>
      <c r="V102" s="224"/>
      <c r="W102" s="166"/>
      <c r="X102" s="84"/>
      <c r="Y102" s="228"/>
      <c r="Z102" s="229"/>
      <c r="AA102" s="229"/>
      <c r="AB102" s="229"/>
      <c r="AC102" s="229"/>
      <c r="AD102" s="230"/>
      <c r="AE102" s="169">
        <f t="shared" si="12"/>
        <v>0</v>
      </c>
      <c r="AF102" s="177"/>
    </row>
    <row r="103" spans="1:46" ht="12.75" customHeight="1" x14ac:dyDescent="0.2">
      <c r="A103" s="84"/>
      <c r="B103" s="88"/>
      <c r="C103" s="89"/>
      <c r="D103" s="90"/>
      <c r="N103" s="214"/>
      <c r="O103" s="222"/>
      <c r="P103" s="222"/>
      <c r="Q103" s="222"/>
      <c r="R103" s="222"/>
      <c r="S103" s="222"/>
      <c r="T103" s="222"/>
      <c r="U103" s="223"/>
      <c r="V103" s="224"/>
      <c r="W103" s="166"/>
      <c r="X103" s="84"/>
      <c r="Y103" s="228"/>
      <c r="Z103" s="229"/>
      <c r="AA103" s="229"/>
      <c r="AB103" s="229"/>
      <c r="AC103" s="229"/>
      <c r="AD103" s="230"/>
      <c r="AE103" s="169">
        <f t="shared" si="12"/>
        <v>0</v>
      </c>
      <c r="AF103" s="177"/>
    </row>
    <row r="104" spans="1:46" ht="12.75" customHeight="1" x14ac:dyDescent="0.2">
      <c r="A104" s="84"/>
      <c r="B104" s="88"/>
      <c r="C104" s="89"/>
      <c r="D104" s="90"/>
      <c r="N104" s="221"/>
      <c r="O104" s="222"/>
      <c r="P104" s="222"/>
      <c r="Q104" s="222"/>
      <c r="R104" s="222"/>
      <c r="S104" s="222"/>
      <c r="T104" s="222"/>
      <c r="U104" s="223"/>
      <c r="V104" s="224"/>
      <c r="W104" s="166"/>
      <c r="X104" s="84"/>
      <c r="Y104" s="228"/>
      <c r="Z104" s="229"/>
      <c r="AA104" s="229"/>
      <c r="AB104" s="229"/>
      <c r="AC104" s="229"/>
      <c r="AD104" s="230"/>
      <c r="AE104" s="169">
        <f t="shared" si="12"/>
        <v>0</v>
      </c>
      <c r="AF104" s="177"/>
    </row>
    <row r="105" spans="1:46" ht="13.5" customHeight="1" x14ac:dyDescent="0.2">
      <c r="A105" s="84"/>
      <c r="B105" s="88"/>
      <c r="C105" s="89"/>
      <c r="D105" s="90"/>
      <c r="N105" s="214"/>
      <c r="O105" s="222"/>
      <c r="P105" s="222"/>
      <c r="Q105" s="222"/>
      <c r="R105" s="222"/>
      <c r="S105" s="222"/>
      <c r="T105" s="222"/>
      <c r="U105" s="223"/>
      <c r="V105" s="224"/>
      <c r="W105" s="166"/>
      <c r="X105" s="84"/>
      <c r="Y105" s="228"/>
      <c r="Z105" s="229"/>
      <c r="AA105" s="229"/>
      <c r="AB105" s="229"/>
      <c r="AC105" s="229"/>
      <c r="AD105" s="230"/>
      <c r="AE105" s="169">
        <f t="shared" si="12"/>
        <v>0</v>
      </c>
      <c r="AF105" s="177"/>
    </row>
    <row r="106" spans="1:46" x14ac:dyDescent="0.2">
      <c r="A106" s="84"/>
      <c r="B106" s="88"/>
      <c r="C106" s="89"/>
      <c r="D106" s="90"/>
      <c r="N106" s="221"/>
      <c r="O106" s="222"/>
      <c r="P106" s="222"/>
      <c r="Q106" s="222"/>
      <c r="R106" s="222"/>
      <c r="S106" s="222"/>
      <c r="T106" s="222"/>
      <c r="U106" s="223"/>
      <c r="V106" s="224"/>
      <c r="W106" s="166"/>
      <c r="X106" s="84"/>
      <c r="Y106" s="228"/>
      <c r="Z106" s="229"/>
      <c r="AA106" s="229"/>
      <c r="AB106" s="229"/>
      <c r="AC106" s="229"/>
      <c r="AD106" s="230"/>
      <c r="AE106" s="169">
        <f t="shared" si="12"/>
        <v>0</v>
      </c>
      <c r="AF106" s="177"/>
    </row>
    <row r="107" spans="1:46" ht="12.75" customHeight="1" x14ac:dyDescent="0.2">
      <c r="A107" s="84"/>
      <c r="B107" s="88"/>
      <c r="C107" s="89"/>
      <c r="D107" s="90"/>
      <c r="N107" s="221"/>
      <c r="O107" s="222"/>
      <c r="P107" s="222"/>
      <c r="Q107" s="222"/>
      <c r="R107" s="222"/>
      <c r="S107" s="222"/>
      <c r="T107" s="222"/>
      <c r="U107" s="223"/>
      <c r="V107" s="224"/>
      <c r="W107" s="166"/>
      <c r="X107" s="84"/>
      <c r="Y107" s="228"/>
      <c r="Z107" s="229"/>
      <c r="AA107" s="229"/>
      <c r="AB107" s="229"/>
      <c r="AC107" s="229"/>
      <c r="AD107" s="230"/>
      <c r="AE107" s="169">
        <f t="shared" si="12"/>
        <v>0</v>
      </c>
      <c r="AF107" s="177"/>
    </row>
    <row r="108" spans="1:46" ht="12.75" customHeight="1" x14ac:dyDescent="0.2">
      <c r="A108" s="84"/>
      <c r="B108" s="88"/>
      <c r="C108" s="89"/>
      <c r="D108" s="90"/>
      <c r="N108" s="221"/>
      <c r="O108" s="222"/>
      <c r="P108" s="222"/>
      <c r="Q108" s="222"/>
      <c r="R108" s="222"/>
      <c r="S108" s="222"/>
      <c r="T108" s="222"/>
      <c r="U108" s="223"/>
      <c r="V108" s="224"/>
      <c r="W108" s="166"/>
      <c r="X108" s="84"/>
      <c r="Y108" s="228"/>
      <c r="Z108" s="229"/>
      <c r="AA108" s="229"/>
      <c r="AB108" s="229"/>
      <c r="AC108" s="229"/>
      <c r="AD108" s="230"/>
      <c r="AE108" s="169">
        <f t="shared" si="12"/>
        <v>0</v>
      </c>
      <c r="AF108" s="177"/>
    </row>
    <row r="109" spans="1:46" ht="12.75" customHeight="1" x14ac:dyDescent="0.2">
      <c r="A109" s="84"/>
      <c r="B109" s="88"/>
      <c r="C109" s="89"/>
      <c r="D109" s="90"/>
      <c r="N109" s="221"/>
      <c r="O109" s="222"/>
      <c r="P109" s="222"/>
      <c r="Q109" s="222"/>
      <c r="R109" s="222"/>
      <c r="S109" s="222"/>
      <c r="T109" s="222"/>
      <c r="U109" s="223"/>
      <c r="V109" s="224"/>
      <c r="W109" s="166"/>
      <c r="X109" s="84"/>
      <c r="Y109" s="228"/>
      <c r="Z109" s="229"/>
      <c r="AA109" s="229"/>
      <c r="AB109" s="229"/>
      <c r="AC109" s="229"/>
      <c r="AD109" s="230"/>
      <c r="AE109" s="169">
        <f t="shared" si="12"/>
        <v>0</v>
      </c>
      <c r="AF109" s="177"/>
    </row>
    <row r="110" spans="1:46" ht="12.75" customHeight="1" x14ac:dyDescent="0.2">
      <c r="A110" s="84"/>
      <c r="B110" s="88"/>
      <c r="C110" s="89"/>
      <c r="D110" s="90"/>
      <c r="N110" s="221"/>
      <c r="O110" s="222"/>
      <c r="P110" s="222"/>
      <c r="Q110" s="222"/>
      <c r="R110" s="222"/>
      <c r="S110" s="222"/>
      <c r="T110" s="222"/>
      <c r="U110" s="223"/>
      <c r="V110" s="224"/>
      <c r="W110" s="166"/>
      <c r="X110" s="84"/>
      <c r="Y110" s="228"/>
      <c r="Z110" s="229"/>
      <c r="AA110" s="229"/>
      <c r="AB110" s="229"/>
      <c r="AC110" s="229"/>
      <c r="AD110" s="230"/>
      <c r="AE110" s="169">
        <f t="shared" si="12"/>
        <v>0</v>
      </c>
      <c r="AF110" s="177"/>
    </row>
    <row r="111" spans="1:46" ht="12.75" customHeight="1" x14ac:dyDescent="0.2">
      <c r="A111" s="84"/>
      <c r="B111" s="88"/>
      <c r="C111" s="89"/>
      <c r="D111" s="90"/>
      <c r="N111" s="221"/>
      <c r="O111" s="222"/>
      <c r="P111" s="222"/>
      <c r="Q111" s="222"/>
      <c r="R111" s="222"/>
      <c r="S111" s="222"/>
      <c r="T111" s="222"/>
      <c r="U111" s="223"/>
      <c r="V111" s="224"/>
      <c r="W111" s="166"/>
      <c r="X111" s="84"/>
      <c r="Y111" s="228"/>
      <c r="Z111" s="229"/>
      <c r="AA111" s="229"/>
      <c r="AB111" s="229"/>
      <c r="AC111" s="229"/>
      <c r="AD111" s="230"/>
      <c r="AE111" s="169">
        <f t="shared" si="12"/>
        <v>0</v>
      </c>
      <c r="AF111" s="177"/>
    </row>
    <row r="112" spans="1:46" ht="13.5" customHeight="1" thickBot="1" x14ac:dyDescent="0.25">
      <c r="A112" s="84"/>
      <c r="B112" s="88"/>
      <c r="C112" s="89"/>
      <c r="D112" s="90"/>
      <c r="N112" s="233"/>
      <c r="O112" s="234"/>
      <c r="P112" s="234"/>
      <c r="Q112" s="234"/>
      <c r="R112" s="234"/>
      <c r="S112" s="234"/>
      <c r="T112" s="234"/>
      <c r="U112" s="235"/>
      <c r="V112" s="236"/>
      <c r="W112" s="166"/>
      <c r="X112" s="84"/>
      <c r="Y112" s="237"/>
      <c r="Z112" s="238"/>
      <c r="AA112" s="238"/>
      <c r="AB112" s="238"/>
      <c r="AC112" s="238"/>
      <c r="AD112" s="239"/>
      <c r="AE112" s="169">
        <f t="shared" si="12"/>
        <v>0</v>
      </c>
      <c r="AF112" s="240"/>
    </row>
    <row r="113" spans="1:32" ht="14.25" thickBot="1" x14ac:dyDescent="0.3">
      <c r="A113" s="84"/>
      <c r="B113" s="88"/>
      <c r="C113" s="89"/>
      <c r="D113" s="90"/>
      <c r="N113" s="313" t="s">
        <v>208</v>
      </c>
      <c r="O113" s="314"/>
      <c r="P113" s="314"/>
      <c r="Q113" s="314"/>
      <c r="R113" s="314"/>
      <c r="S113" s="314"/>
      <c r="T113" s="314"/>
      <c r="U113" s="314"/>
      <c r="V113" s="314"/>
      <c r="W113" s="315"/>
      <c r="X113" s="84"/>
      <c r="Y113" s="316" t="s">
        <v>209</v>
      </c>
      <c r="Z113" s="317"/>
      <c r="AA113" s="317"/>
      <c r="AB113" s="317"/>
      <c r="AC113" s="317"/>
      <c r="AD113" s="318"/>
      <c r="AE113" s="241">
        <f>SUM(AE23:AE112)</f>
        <v>530.61041666666665</v>
      </c>
      <c r="AF113" s="83"/>
    </row>
    <row r="114" spans="1:32" ht="12.75" customHeight="1" thickBot="1" x14ac:dyDescent="0.25">
      <c r="A114" s="84"/>
      <c r="B114" s="88"/>
      <c r="C114" s="89"/>
      <c r="D114" s="90"/>
      <c r="N114" s="319"/>
      <c r="O114" s="320"/>
      <c r="P114" s="320"/>
      <c r="Q114" s="320"/>
      <c r="R114" s="320"/>
      <c r="S114" s="320"/>
      <c r="T114" s="320"/>
      <c r="U114" s="320"/>
      <c r="V114" s="320"/>
      <c r="W114" s="321"/>
      <c r="X114" s="84"/>
      <c r="Y114" s="328" t="s">
        <v>177</v>
      </c>
      <c r="Z114" s="329"/>
      <c r="AA114" s="329"/>
      <c r="AB114" s="329"/>
      <c r="AC114" s="329"/>
      <c r="AD114" s="330"/>
      <c r="AE114" s="242">
        <f>ROUND(IF(AE113&gt;1,AE113/AVERAGE(J20:J38),),1)</f>
        <v>2.9</v>
      </c>
      <c r="AF114" s="83"/>
    </row>
    <row r="115" spans="1:32" ht="12.75" customHeight="1" x14ac:dyDescent="0.2">
      <c r="A115" s="84"/>
      <c r="B115" s="88"/>
      <c r="C115" s="89"/>
      <c r="D115" s="90"/>
      <c r="N115" s="322"/>
      <c r="O115" s="323"/>
      <c r="P115" s="323"/>
      <c r="Q115" s="323"/>
      <c r="R115" s="323"/>
      <c r="S115" s="323"/>
      <c r="T115" s="323"/>
      <c r="U115" s="323"/>
      <c r="V115" s="323"/>
      <c r="W115" s="324"/>
      <c r="X115" s="84"/>
      <c r="AF115" s="83"/>
    </row>
    <row r="116" spans="1:32" ht="12.75" customHeight="1" x14ac:dyDescent="0.2">
      <c r="A116" s="84"/>
      <c r="B116" s="88"/>
      <c r="C116" s="89"/>
      <c r="D116" s="90"/>
      <c r="N116" s="322"/>
      <c r="O116" s="323"/>
      <c r="P116" s="323"/>
      <c r="Q116" s="323"/>
      <c r="R116" s="323"/>
      <c r="S116" s="323"/>
      <c r="T116" s="323"/>
      <c r="U116" s="323"/>
      <c r="V116" s="323"/>
      <c r="W116" s="324"/>
    </row>
    <row r="117" spans="1:32" ht="12.75" customHeight="1" x14ac:dyDescent="0.2">
      <c r="N117" s="322"/>
      <c r="O117" s="323"/>
      <c r="P117" s="323"/>
      <c r="Q117" s="323"/>
      <c r="R117" s="323"/>
      <c r="S117" s="323"/>
      <c r="T117" s="323"/>
      <c r="U117" s="323"/>
      <c r="V117" s="323"/>
      <c r="W117" s="324"/>
    </row>
    <row r="118" spans="1:32" ht="12.75" customHeight="1" x14ac:dyDescent="0.2">
      <c r="N118" s="322"/>
      <c r="O118" s="323"/>
      <c r="P118" s="323"/>
      <c r="Q118" s="323"/>
      <c r="R118" s="323"/>
      <c r="S118" s="323"/>
      <c r="T118" s="323"/>
      <c r="U118" s="323"/>
      <c r="V118" s="323"/>
      <c r="W118" s="324"/>
    </row>
    <row r="119" spans="1:32" ht="13.5" customHeight="1" x14ac:dyDescent="0.2">
      <c r="N119" s="322"/>
      <c r="O119" s="323"/>
      <c r="P119" s="323"/>
      <c r="Q119" s="323"/>
      <c r="R119" s="323"/>
      <c r="S119" s="323"/>
      <c r="T119" s="323"/>
      <c r="U119" s="323"/>
      <c r="V119" s="323"/>
      <c r="W119" s="324"/>
    </row>
    <row r="120" spans="1:32" x14ac:dyDescent="0.2">
      <c r="N120" s="322"/>
      <c r="O120" s="323"/>
      <c r="P120" s="323"/>
      <c r="Q120" s="323"/>
      <c r="R120" s="323"/>
      <c r="S120" s="323"/>
      <c r="T120" s="323"/>
      <c r="U120" s="323"/>
      <c r="V120" s="323"/>
      <c r="W120" s="324"/>
    </row>
    <row r="121" spans="1:32" ht="12.75" customHeight="1" x14ac:dyDescent="0.2">
      <c r="N121" s="322"/>
      <c r="O121" s="323"/>
      <c r="P121" s="323"/>
      <c r="Q121" s="323"/>
      <c r="R121" s="323"/>
      <c r="S121" s="323"/>
      <c r="T121" s="323"/>
      <c r="U121" s="323"/>
      <c r="V121" s="323"/>
      <c r="W121" s="324"/>
    </row>
    <row r="122" spans="1:32" ht="12.75" customHeight="1" x14ac:dyDescent="0.2">
      <c r="N122" s="322"/>
      <c r="O122" s="323"/>
      <c r="P122" s="323"/>
      <c r="Q122" s="323"/>
      <c r="R122" s="323"/>
      <c r="S122" s="323"/>
      <c r="T122" s="323"/>
      <c r="U122" s="323"/>
      <c r="V122" s="323"/>
      <c r="W122" s="324"/>
    </row>
    <row r="123" spans="1:32" ht="12.75" customHeight="1" x14ac:dyDescent="0.2">
      <c r="N123" s="322"/>
      <c r="O123" s="323"/>
      <c r="P123" s="323"/>
      <c r="Q123" s="323"/>
      <c r="R123" s="323"/>
      <c r="S123" s="323"/>
      <c r="T123" s="323"/>
      <c r="U123" s="323"/>
      <c r="V123" s="323"/>
      <c r="W123" s="324"/>
    </row>
    <row r="124" spans="1:32" ht="12.75" customHeight="1" x14ac:dyDescent="0.2">
      <c r="N124" s="322"/>
      <c r="O124" s="323"/>
      <c r="P124" s="323"/>
      <c r="Q124" s="323"/>
      <c r="R124" s="323"/>
      <c r="S124" s="323"/>
      <c r="T124" s="323"/>
      <c r="U124" s="323"/>
      <c r="V124" s="323"/>
      <c r="W124" s="324"/>
    </row>
    <row r="125" spans="1:32" ht="12.75" customHeight="1" x14ac:dyDescent="0.2">
      <c r="N125" s="322"/>
      <c r="O125" s="323"/>
      <c r="P125" s="323"/>
      <c r="Q125" s="323"/>
      <c r="R125" s="323"/>
      <c r="S125" s="323"/>
      <c r="T125" s="323"/>
      <c r="U125" s="323"/>
      <c r="V125" s="323"/>
      <c r="W125" s="324"/>
    </row>
    <row r="126" spans="1:32" ht="13.5" customHeight="1" x14ac:dyDescent="0.2">
      <c r="N126" s="322"/>
      <c r="O126" s="323"/>
      <c r="P126" s="323"/>
      <c r="Q126" s="323"/>
      <c r="R126" s="323"/>
      <c r="S126" s="323"/>
      <c r="T126" s="323"/>
      <c r="U126" s="323"/>
      <c r="V126" s="323"/>
      <c r="W126" s="324"/>
    </row>
    <row r="127" spans="1:32" x14ac:dyDescent="0.2">
      <c r="N127" s="322"/>
      <c r="O127" s="323"/>
      <c r="P127" s="323"/>
      <c r="Q127" s="323"/>
      <c r="R127" s="323"/>
      <c r="S127" s="323"/>
      <c r="T127" s="323"/>
      <c r="U127" s="323"/>
      <c r="V127" s="323"/>
      <c r="W127" s="324"/>
    </row>
    <row r="128" spans="1:32" ht="12.75" customHeight="1" x14ac:dyDescent="0.2">
      <c r="N128" s="322"/>
      <c r="O128" s="323"/>
      <c r="P128" s="323"/>
      <c r="Q128" s="323"/>
      <c r="R128" s="323"/>
      <c r="S128" s="323"/>
      <c r="T128" s="323"/>
      <c r="U128" s="323"/>
      <c r="V128" s="323"/>
      <c r="W128" s="324"/>
    </row>
    <row r="129" spans="14:23" x14ac:dyDescent="0.2">
      <c r="N129" s="322"/>
      <c r="O129" s="323"/>
      <c r="P129" s="323"/>
      <c r="Q129" s="323"/>
      <c r="R129" s="323"/>
      <c r="S129" s="323"/>
      <c r="T129" s="323"/>
      <c r="U129" s="323"/>
      <c r="V129" s="323"/>
      <c r="W129" s="324"/>
    </row>
    <row r="130" spans="14:23" x14ac:dyDescent="0.2">
      <c r="N130" s="322"/>
      <c r="O130" s="323"/>
      <c r="P130" s="323"/>
      <c r="Q130" s="323"/>
      <c r="R130" s="323"/>
      <c r="S130" s="323"/>
      <c r="T130" s="323"/>
      <c r="U130" s="323"/>
      <c r="V130" s="323"/>
      <c r="W130" s="324"/>
    </row>
    <row r="131" spans="14:23" x14ac:dyDescent="0.2">
      <c r="N131" s="322"/>
      <c r="O131" s="323"/>
      <c r="P131" s="323"/>
      <c r="Q131" s="323"/>
      <c r="R131" s="323"/>
      <c r="S131" s="323"/>
      <c r="T131" s="323"/>
      <c r="U131" s="323"/>
      <c r="V131" s="323"/>
      <c r="W131" s="324"/>
    </row>
    <row r="132" spans="14:23" x14ac:dyDescent="0.2">
      <c r="N132" s="322"/>
      <c r="O132" s="323"/>
      <c r="P132" s="323"/>
      <c r="Q132" s="323"/>
      <c r="R132" s="323"/>
      <c r="S132" s="323"/>
      <c r="T132" s="323"/>
      <c r="U132" s="323"/>
      <c r="V132" s="323"/>
      <c r="W132" s="324"/>
    </row>
    <row r="133" spans="14:23" x14ac:dyDescent="0.2">
      <c r="N133" s="322"/>
      <c r="O133" s="323"/>
      <c r="P133" s="323"/>
      <c r="Q133" s="323"/>
      <c r="R133" s="323"/>
      <c r="S133" s="323"/>
      <c r="T133" s="323"/>
      <c r="U133" s="323"/>
      <c r="V133" s="323"/>
      <c r="W133" s="324"/>
    </row>
    <row r="134" spans="14:23" x14ac:dyDescent="0.2">
      <c r="N134" s="322"/>
      <c r="O134" s="323"/>
      <c r="P134" s="323"/>
      <c r="Q134" s="323"/>
      <c r="R134" s="323"/>
      <c r="S134" s="323"/>
      <c r="T134" s="323"/>
      <c r="U134" s="323"/>
      <c r="V134" s="323"/>
      <c r="W134" s="324"/>
    </row>
    <row r="135" spans="14:23" x14ac:dyDescent="0.2">
      <c r="N135" s="322"/>
      <c r="O135" s="323"/>
      <c r="P135" s="323"/>
      <c r="Q135" s="323"/>
      <c r="R135" s="323"/>
      <c r="S135" s="323"/>
      <c r="T135" s="323"/>
      <c r="U135" s="323"/>
      <c r="V135" s="323"/>
      <c r="W135" s="324"/>
    </row>
    <row r="136" spans="14:23" x14ac:dyDescent="0.2">
      <c r="N136" s="322"/>
      <c r="O136" s="323"/>
      <c r="P136" s="323"/>
      <c r="Q136" s="323"/>
      <c r="R136" s="323"/>
      <c r="S136" s="323"/>
      <c r="T136" s="323"/>
      <c r="U136" s="323"/>
      <c r="V136" s="323"/>
      <c r="W136" s="324"/>
    </row>
    <row r="137" spans="14:23" x14ac:dyDescent="0.2">
      <c r="N137" s="322"/>
      <c r="O137" s="323"/>
      <c r="P137" s="323"/>
      <c r="Q137" s="323"/>
      <c r="R137" s="323"/>
      <c r="S137" s="323"/>
      <c r="T137" s="323"/>
      <c r="U137" s="323"/>
      <c r="V137" s="323"/>
      <c r="W137" s="324"/>
    </row>
    <row r="138" spans="14:23" x14ac:dyDescent="0.2">
      <c r="N138" s="322"/>
      <c r="O138" s="323"/>
      <c r="P138" s="323"/>
      <c r="Q138" s="323"/>
      <c r="R138" s="323"/>
      <c r="S138" s="323"/>
      <c r="T138" s="323"/>
      <c r="U138" s="323"/>
      <c r="V138" s="323"/>
      <c r="W138" s="324"/>
    </row>
    <row r="139" spans="14:23" x14ac:dyDescent="0.2">
      <c r="N139" s="322"/>
      <c r="O139" s="323"/>
      <c r="P139" s="323"/>
      <c r="Q139" s="323"/>
      <c r="R139" s="323"/>
      <c r="S139" s="323"/>
      <c r="T139" s="323"/>
      <c r="U139" s="323"/>
      <c r="V139" s="323"/>
      <c r="W139" s="324"/>
    </row>
    <row r="140" spans="14:23" x14ac:dyDescent="0.2">
      <c r="N140" s="322"/>
      <c r="O140" s="323"/>
      <c r="P140" s="323"/>
      <c r="Q140" s="323"/>
      <c r="R140" s="323"/>
      <c r="S140" s="323"/>
      <c r="T140" s="323"/>
      <c r="U140" s="323"/>
      <c r="V140" s="323"/>
      <c r="W140" s="324"/>
    </row>
    <row r="141" spans="14:23" x14ac:dyDescent="0.2">
      <c r="N141" s="322"/>
      <c r="O141" s="323"/>
      <c r="P141" s="323"/>
      <c r="Q141" s="323"/>
      <c r="R141" s="323"/>
      <c r="S141" s="323"/>
      <c r="T141" s="323"/>
      <c r="U141" s="323"/>
      <c r="V141" s="323"/>
      <c r="W141" s="324"/>
    </row>
    <row r="142" spans="14:23" x14ac:dyDescent="0.2">
      <c r="N142" s="322"/>
      <c r="O142" s="323"/>
      <c r="P142" s="323"/>
      <c r="Q142" s="323"/>
      <c r="R142" s="323"/>
      <c r="S142" s="323"/>
      <c r="T142" s="323"/>
      <c r="U142" s="323"/>
      <c r="V142" s="323"/>
      <c r="W142" s="324"/>
    </row>
    <row r="143" spans="14:23" ht="13.5" thickBot="1" x14ac:dyDescent="0.25">
      <c r="N143" s="325"/>
      <c r="O143" s="326"/>
      <c r="P143" s="326"/>
      <c r="Q143" s="326"/>
      <c r="R143" s="326"/>
      <c r="S143" s="326"/>
      <c r="T143" s="326"/>
      <c r="U143" s="326"/>
      <c r="V143" s="326"/>
      <c r="W143" s="327"/>
    </row>
  </sheetData>
  <mergeCells count="86">
    <mergeCell ref="E10:W10"/>
    <mergeCell ref="F11:K12"/>
    <mergeCell ref="N11:N12"/>
    <mergeCell ref="O11:U12"/>
    <mergeCell ref="Y11:AE14"/>
    <mergeCell ref="E13:J14"/>
    <mergeCell ref="K13:L14"/>
    <mergeCell ref="O13:Q13"/>
    <mergeCell ref="R13:S13"/>
    <mergeCell ref="T13:V13"/>
    <mergeCell ref="R14:S14"/>
    <mergeCell ref="T14:V14"/>
    <mergeCell ref="E15:E18"/>
    <mergeCell ref="F15:G18"/>
    <mergeCell ref="H15:H18"/>
    <mergeCell ref="I15:I18"/>
    <mergeCell ref="J15:J18"/>
    <mergeCell ref="K15:K18"/>
    <mergeCell ref="L15:L17"/>
    <mergeCell ref="N17:N18"/>
    <mergeCell ref="O17:O22"/>
    <mergeCell ref="P17:P22"/>
    <mergeCell ref="Q17:Q22"/>
    <mergeCell ref="O14:Q14"/>
    <mergeCell ref="N15:S16"/>
    <mergeCell ref="T15:V15"/>
    <mergeCell ref="Y15:AE15"/>
    <mergeCell ref="T16:V16"/>
    <mergeCell ref="Y16:AE16"/>
    <mergeCell ref="AJ22:AO22"/>
    <mergeCell ref="AE17:AE21"/>
    <mergeCell ref="R18:R20"/>
    <mergeCell ref="S18:S20"/>
    <mergeCell ref="T18:T20"/>
    <mergeCell ref="U18:U20"/>
    <mergeCell ref="V18:V20"/>
    <mergeCell ref="W18:W20"/>
    <mergeCell ref="Y17:Y20"/>
    <mergeCell ref="Z17:Z20"/>
    <mergeCell ref="AA17:AA20"/>
    <mergeCell ref="AB17:AB20"/>
    <mergeCell ref="AC17:AC20"/>
    <mergeCell ref="AD17:AD20"/>
    <mergeCell ref="AF16:AF22"/>
    <mergeCell ref="F19:G19"/>
    <mergeCell ref="N19:N21"/>
    <mergeCell ref="F20:G20"/>
    <mergeCell ref="F21:G21"/>
    <mergeCell ref="F22:G22"/>
    <mergeCell ref="F34:G34"/>
    <mergeCell ref="F23:G23"/>
    <mergeCell ref="F24:G24"/>
    <mergeCell ref="F25:G25"/>
    <mergeCell ref="F26:G26"/>
    <mergeCell ref="F27:G27"/>
    <mergeCell ref="F28:G28"/>
    <mergeCell ref="F29:G29"/>
    <mergeCell ref="F30:G30"/>
    <mergeCell ref="F31:G31"/>
    <mergeCell ref="F32:G32"/>
    <mergeCell ref="F33:G33"/>
    <mergeCell ref="E52:K52"/>
    <mergeCell ref="F35:G35"/>
    <mergeCell ref="F36:G36"/>
    <mergeCell ref="F37:G37"/>
    <mergeCell ref="F38:G38"/>
    <mergeCell ref="E39:J39"/>
    <mergeCell ref="E40:J40"/>
    <mergeCell ref="K40:L40"/>
    <mergeCell ref="E41:L41"/>
    <mergeCell ref="E42:L42"/>
    <mergeCell ref="G43:L50"/>
    <mergeCell ref="E51:L51"/>
    <mergeCell ref="N113:W113"/>
    <mergeCell ref="Y113:AD113"/>
    <mergeCell ref="N114:W143"/>
    <mergeCell ref="Y114:AD114"/>
    <mergeCell ref="E53:K53"/>
    <mergeCell ref="E54:K54"/>
    <mergeCell ref="E55:K55"/>
    <mergeCell ref="F56:G56"/>
    <mergeCell ref="N89:W89"/>
    <mergeCell ref="Y89:AE92"/>
    <mergeCell ref="N90:U92"/>
    <mergeCell ref="V90:V92"/>
    <mergeCell ref="W90:W92"/>
  </mergeCells>
  <conditionalFormatting sqref="N11">
    <cfRule type="expression" dxfId="269" priority="92" stopIfTrue="1">
      <formula>ISTEXT(AH19)</formula>
    </cfRule>
  </conditionalFormatting>
  <conditionalFormatting sqref="E10">
    <cfRule type="expression" dxfId="268" priority="91" stopIfTrue="1">
      <formula>ISTEXT(AH19)</formula>
    </cfRule>
  </conditionalFormatting>
  <conditionalFormatting sqref="F10">
    <cfRule type="expression" dxfId="267" priority="90" stopIfTrue="1">
      <formula>ISTEXT(AH23)</formula>
    </cfRule>
  </conditionalFormatting>
  <conditionalFormatting sqref="G57:G65">
    <cfRule type="expression" dxfId="266" priority="89" stopIfTrue="1">
      <formula>ISTEXT(#REF!)</formula>
    </cfRule>
  </conditionalFormatting>
  <conditionalFormatting sqref="G10">
    <cfRule type="expression" dxfId="265" priority="88" stopIfTrue="1">
      <formula>ISTEXT(#REF!)</formula>
    </cfRule>
  </conditionalFormatting>
  <conditionalFormatting sqref="N17:N21">
    <cfRule type="expression" dxfId="264" priority="87" stopIfTrue="1">
      <formula>SUM($R$21:$W$21)&lt;&gt;1</formula>
    </cfRule>
  </conditionalFormatting>
  <conditionalFormatting sqref="L39">
    <cfRule type="expression" dxfId="263" priority="74" stopIfTrue="1">
      <formula>L39&lt;1</formula>
    </cfRule>
  </conditionalFormatting>
  <conditionalFormatting sqref="E65 H57:L65 F57:F59 E57 E59 E61 E63">
    <cfRule type="expression" dxfId="262" priority="85" stopIfTrue="1">
      <formula>ISTEXT(X68)</formula>
    </cfRule>
  </conditionalFormatting>
  <conditionalFormatting sqref="E58 E60 E62 E64">
    <cfRule type="expression" dxfId="261" priority="84" stopIfTrue="1">
      <formula>ISTEXT(Y65)</formula>
    </cfRule>
  </conditionalFormatting>
  <conditionalFormatting sqref="N11">
    <cfRule type="expression" dxfId="260" priority="83" stopIfTrue="1">
      <formula>ISTEXT(AH19)</formula>
    </cfRule>
  </conditionalFormatting>
  <conditionalFormatting sqref="H10:M10">
    <cfRule type="expression" dxfId="259" priority="82" stopIfTrue="1">
      <formula>ISTEXT(#REF!)</formula>
    </cfRule>
  </conditionalFormatting>
  <conditionalFormatting sqref="O10">
    <cfRule type="expression" dxfId="258" priority="81" stopIfTrue="1">
      <formula>ISTEXT(#REF!)</formula>
    </cfRule>
  </conditionalFormatting>
  <conditionalFormatting sqref="P10:W10">
    <cfRule type="expression" dxfId="257" priority="80" stopIfTrue="1">
      <formula>ISTEXT(AJ23)</formula>
    </cfRule>
  </conditionalFormatting>
  <conditionalFormatting sqref="F60:F65">
    <cfRule type="expression" dxfId="256" priority="79" stopIfTrue="1">
      <formula>ISTEXT(#REF!)</formula>
    </cfRule>
  </conditionalFormatting>
  <conditionalFormatting sqref="N10">
    <cfRule type="expression" dxfId="255" priority="93" stopIfTrue="1">
      <formula>ISTEXT(AI23)</formula>
    </cfRule>
  </conditionalFormatting>
  <conditionalFormatting sqref="L19:L38">
    <cfRule type="expression" dxfId="254" priority="63">
      <formula>AND($AH$18=2,K19=0)</formula>
    </cfRule>
    <cfRule type="expression" dxfId="253" priority="78" stopIfTrue="1">
      <formula>ISBLANK(L19)</formula>
    </cfRule>
  </conditionalFormatting>
  <conditionalFormatting sqref="L18:L39">
    <cfRule type="expression" dxfId="252" priority="76">
      <formula>$AH$18=2</formula>
    </cfRule>
    <cfRule type="expression" dxfId="251" priority="77">
      <formula>$AH$18=1</formula>
    </cfRule>
  </conditionalFormatting>
  <conditionalFormatting sqref="K19:K38">
    <cfRule type="expression" dxfId="250" priority="72" stopIfTrue="1">
      <formula>AND(K19&gt;=J19*0.95,K19&lt;=J19*1.05,B19&gt;1)</formula>
    </cfRule>
    <cfRule type="expression" dxfId="249" priority="73" stopIfTrue="1">
      <formula>AND(J19&gt;1,$K19&gt;$J19*1.05)</formula>
    </cfRule>
    <cfRule type="expression" dxfId="248" priority="75" stopIfTrue="1">
      <formula>$W$16=$F19</formula>
    </cfRule>
  </conditionalFormatting>
  <conditionalFormatting sqref="R23:W88 W93:W97 W112">
    <cfRule type="expression" dxfId="247" priority="70" stopIfTrue="1">
      <formula>OR(R23=$W$16,AND(AND(R23&lt;$F$19,R23&gt;0), $W$16="Prev. Years"))</formula>
    </cfRule>
    <cfRule type="expression" dxfId="246" priority="71" stopIfTrue="1">
      <formula>AND(R23&gt;=$D$43,R23&lt;=$D$44)</formula>
    </cfRule>
  </conditionalFormatting>
  <conditionalFormatting sqref="H19:J38">
    <cfRule type="expression" dxfId="245" priority="69" stopIfTrue="1">
      <formula>$W$16=$F19</formula>
    </cfRule>
  </conditionalFormatting>
  <conditionalFormatting sqref="Y23:AD88">
    <cfRule type="expression" dxfId="244" priority="66" stopIfTrue="1">
      <formula>ISBLANK(R23)</formula>
    </cfRule>
    <cfRule type="expression" dxfId="243" priority="67" stopIfTrue="1">
      <formula>AND(R23&lt;$F$19, $W$16="Prev. Years")</formula>
    </cfRule>
    <cfRule type="expression" dxfId="242" priority="68" stopIfTrue="1">
      <formula>R23=$W$16</formula>
    </cfRule>
  </conditionalFormatting>
  <conditionalFormatting sqref="L19:L38 F20:F38">
    <cfRule type="expression" dxfId="241" priority="86" stopIfTrue="1">
      <formula>$W$16=$F19</formula>
    </cfRule>
  </conditionalFormatting>
  <conditionalFormatting sqref="O11">
    <cfRule type="expression" dxfId="240" priority="65" stopIfTrue="1">
      <formula>ISTEXT(AI19)</formula>
    </cfRule>
  </conditionalFormatting>
  <conditionalFormatting sqref="O11">
    <cfRule type="expression" dxfId="239" priority="64" stopIfTrue="1">
      <formula>ISTEXT(AI19)</formula>
    </cfRule>
  </conditionalFormatting>
  <conditionalFormatting sqref="W97:W100">
    <cfRule type="expression" dxfId="238" priority="61" stopIfTrue="1">
      <formula>OR(W97=$W$16,AND(AND(W97&lt;$F$19,W97&gt;0), $W$16="Prev. Years"))</formula>
    </cfRule>
    <cfRule type="expression" dxfId="237" priority="62" stopIfTrue="1">
      <formula>AND(W97&gt;=$D$43,W97&lt;=$D$44)</formula>
    </cfRule>
  </conditionalFormatting>
  <conditionalFormatting sqref="W100">
    <cfRule type="expression" dxfId="236" priority="59" stopIfTrue="1">
      <formula>OR(W100=$W$16,AND(AND(W100&lt;$F$19,W100&gt;0), $W$16="Prev. Years"))</formula>
    </cfRule>
    <cfRule type="expression" dxfId="235" priority="60" stopIfTrue="1">
      <formula>AND(W100&gt;=$D$43,W100&lt;=$D$44)</formula>
    </cfRule>
  </conditionalFormatting>
  <conditionalFormatting sqref="W100:W103">
    <cfRule type="expression" dxfId="234" priority="57" stopIfTrue="1">
      <formula>OR(W100=$W$16,AND(AND(W100&lt;$F$19,W100&gt;0), $W$16="Prev. Years"))</formula>
    </cfRule>
    <cfRule type="expression" dxfId="233" priority="58" stopIfTrue="1">
      <formula>AND(W100&gt;=$D$43,W100&lt;=$D$44)</formula>
    </cfRule>
  </conditionalFormatting>
  <conditionalFormatting sqref="W98:W99">
    <cfRule type="expression" dxfId="232" priority="55" stopIfTrue="1">
      <formula>OR(W98=$W$16,AND(AND(W98&lt;$F$19,W98&gt;0), $W$16="Prev. Years"))</formula>
    </cfRule>
    <cfRule type="expression" dxfId="231" priority="56" stopIfTrue="1">
      <formula>AND(W98&gt;=$D$43,W98&lt;=$D$44)</formula>
    </cfRule>
  </conditionalFormatting>
  <conditionalFormatting sqref="W103">
    <cfRule type="expression" dxfId="230" priority="53" stopIfTrue="1">
      <formula>OR(W103=$W$16,AND(AND(W103&lt;$F$19,W103&gt;0), $W$16="Prev. Years"))</formula>
    </cfRule>
    <cfRule type="expression" dxfId="229" priority="54" stopIfTrue="1">
      <formula>AND(W103&gt;=$D$43,W103&lt;=$D$44)</formula>
    </cfRule>
  </conditionalFormatting>
  <conditionalFormatting sqref="W103">
    <cfRule type="expression" dxfId="228" priority="51" stopIfTrue="1">
      <formula>OR(W103=$W$16,AND(AND(W103&lt;$F$19,W103&gt;0), $W$16="Prev. Years"))</formula>
    </cfRule>
    <cfRule type="expression" dxfId="227" priority="52" stopIfTrue="1">
      <formula>AND(W103&gt;=$D$43,W103&lt;=$D$44)</formula>
    </cfRule>
  </conditionalFormatting>
  <conditionalFormatting sqref="W103:W106">
    <cfRule type="expression" dxfId="226" priority="49" stopIfTrue="1">
      <formula>OR(W103=$W$16,AND(AND(W103&lt;$F$19,W103&gt;0), $W$16="Prev. Years"))</formula>
    </cfRule>
    <cfRule type="expression" dxfId="225" priority="50" stopIfTrue="1">
      <formula>AND(W103&gt;=$D$43,W103&lt;=$D$44)</formula>
    </cfRule>
  </conditionalFormatting>
  <conditionalFormatting sqref="W101:W102">
    <cfRule type="expression" dxfId="224" priority="47" stopIfTrue="1">
      <formula>OR(W101=$W$16,AND(AND(W101&lt;$F$19,W101&gt;0), $W$16="Prev. Years"))</formula>
    </cfRule>
    <cfRule type="expression" dxfId="223" priority="48" stopIfTrue="1">
      <formula>AND(W101&gt;=$D$43,W101&lt;=$D$44)</formula>
    </cfRule>
  </conditionalFormatting>
  <conditionalFormatting sqref="W102">
    <cfRule type="expression" dxfId="222" priority="45" stopIfTrue="1">
      <formula>OR(W102=$W$16,AND(AND(W102&lt;$F$19,W102&gt;0), $W$16="Prev. Years"))</formula>
    </cfRule>
    <cfRule type="expression" dxfId="221" priority="46" stopIfTrue="1">
      <formula>AND(W102&gt;=$D$43,W102&lt;=$D$44)</formula>
    </cfRule>
  </conditionalFormatting>
  <conditionalFormatting sqref="W101">
    <cfRule type="expression" dxfId="220" priority="43" stopIfTrue="1">
      <formula>OR(W101=$W$16,AND(AND(W101&lt;$F$19,W101&gt;0), $W$16="Prev. Years"))</formula>
    </cfRule>
    <cfRule type="expression" dxfId="219" priority="44" stopIfTrue="1">
      <formula>AND(W101&gt;=$D$43,W101&lt;=$D$44)</formula>
    </cfRule>
  </conditionalFormatting>
  <conditionalFormatting sqref="W106">
    <cfRule type="expression" dxfId="218" priority="41" stopIfTrue="1">
      <formula>OR(W106=$W$16,AND(AND(W106&lt;$F$19,W106&gt;0), $W$16="Prev. Years"))</formula>
    </cfRule>
    <cfRule type="expression" dxfId="217" priority="42" stopIfTrue="1">
      <formula>AND(W106&gt;=$D$43,W106&lt;=$D$44)</formula>
    </cfRule>
  </conditionalFormatting>
  <conditionalFormatting sqref="W106">
    <cfRule type="expression" dxfId="216" priority="39" stopIfTrue="1">
      <formula>OR(W106=$W$16,AND(AND(W106&lt;$F$19,W106&gt;0), $W$16="Prev. Years"))</formula>
    </cfRule>
    <cfRule type="expression" dxfId="215" priority="40" stopIfTrue="1">
      <formula>AND(W106&gt;=$D$43,W106&lt;=$D$44)</formula>
    </cfRule>
  </conditionalFormatting>
  <conditionalFormatting sqref="W106">
    <cfRule type="expression" dxfId="214" priority="37" stopIfTrue="1">
      <formula>OR(W106=$W$16,AND(AND(W106&lt;$F$19,W106&gt;0), $W$16="Prev. Years"))</formula>
    </cfRule>
    <cfRule type="expression" dxfId="213" priority="38" stopIfTrue="1">
      <formula>AND(W106&gt;=$D$43,W106&lt;=$D$44)</formula>
    </cfRule>
  </conditionalFormatting>
  <conditionalFormatting sqref="W106:W109">
    <cfRule type="expression" dxfId="212" priority="35" stopIfTrue="1">
      <formula>OR(W106=$W$16,AND(AND(W106&lt;$F$19,W106&gt;0), $W$16="Prev. Years"))</formula>
    </cfRule>
    <cfRule type="expression" dxfId="211" priority="36" stopIfTrue="1">
      <formula>AND(W106&gt;=$D$43,W106&lt;=$D$44)</formula>
    </cfRule>
  </conditionalFormatting>
  <conditionalFormatting sqref="W104:W105">
    <cfRule type="expression" dxfId="210" priority="33" stopIfTrue="1">
      <formula>OR(W104=$W$16,AND(AND(W104&lt;$F$19,W104&gt;0), $W$16="Prev. Years"))</formula>
    </cfRule>
    <cfRule type="expression" dxfId="209" priority="34" stopIfTrue="1">
      <formula>AND(W104&gt;=$D$43,W104&lt;=$D$44)</formula>
    </cfRule>
  </conditionalFormatting>
  <conditionalFormatting sqref="W105">
    <cfRule type="expression" dxfId="208" priority="31" stopIfTrue="1">
      <formula>OR(W105=$W$16,AND(AND(W105&lt;$F$19,W105&gt;0), $W$16="Prev. Years"))</formula>
    </cfRule>
    <cfRule type="expression" dxfId="207" priority="32" stopIfTrue="1">
      <formula>AND(W105&gt;=$D$43,W105&lt;=$D$44)</formula>
    </cfRule>
  </conditionalFormatting>
  <conditionalFormatting sqref="W105">
    <cfRule type="expression" dxfId="206" priority="29" stopIfTrue="1">
      <formula>OR(W105=$W$16,AND(AND(W105&lt;$F$19,W105&gt;0), $W$16="Prev. Years"))</formula>
    </cfRule>
    <cfRule type="expression" dxfId="205" priority="30" stopIfTrue="1">
      <formula>AND(W105&gt;=$D$43,W105&lt;=$D$44)</formula>
    </cfRule>
  </conditionalFormatting>
  <conditionalFormatting sqref="W104">
    <cfRule type="expression" dxfId="204" priority="27" stopIfTrue="1">
      <formula>OR(W104=$W$16,AND(AND(W104&lt;$F$19,W104&gt;0), $W$16="Prev. Years"))</formula>
    </cfRule>
    <cfRule type="expression" dxfId="203" priority="28" stopIfTrue="1">
      <formula>AND(W104&gt;=$D$43,W104&lt;=$D$44)</formula>
    </cfRule>
  </conditionalFormatting>
  <conditionalFormatting sqref="W104">
    <cfRule type="expression" dxfId="202" priority="25" stopIfTrue="1">
      <formula>OR(W104=$W$16,AND(AND(W104&lt;$F$19,W104&gt;0), $W$16="Prev. Years"))</formula>
    </cfRule>
    <cfRule type="expression" dxfId="201" priority="26" stopIfTrue="1">
      <formula>AND(W104&gt;=$D$43,W104&lt;=$D$44)</formula>
    </cfRule>
  </conditionalFormatting>
  <conditionalFormatting sqref="W109">
    <cfRule type="expression" dxfId="200" priority="23" stopIfTrue="1">
      <formula>OR(W109=$W$16,AND(AND(W109&lt;$F$19,W109&gt;0), $W$16="Prev. Years"))</formula>
    </cfRule>
    <cfRule type="expression" dxfId="199" priority="24" stopIfTrue="1">
      <formula>AND(W109&gt;=$D$43,W109&lt;=$D$44)</formula>
    </cfRule>
  </conditionalFormatting>
  <conditionalFormatting sqref="W109">
    <cfRule type="expression" dxfId="198" priority="21" stopIfTrue="1">
      <formula>OR(W109=$W$16,AND(AND(W109&lt;$F$19,W109&gt;0), $W$16="Prev. Years"))</formula>
    </cfRule>
    <cfRule type="expression" dxfId="197" priority="22" stopIfTrue="1">
      <formula>AND(W109&gt;=$D$43,W109&lt;=$D$44)</formula>
    </cfRule>
  </conditionalFormatting>
  <conditionalFormatting sqref="W109">
    <cfRule type="expression" dxfId="196" priority="19" stopIfTrue="1">
      <formula>OR(W109=$W$16,AND(AND(W109&lt;$F$19,W109&gt;0), $W$16="Prev. Years"))</formula>
    </cfRule>
    <cfRule type="expression" dxfId="195" priority="20" stopIfTrue="1">
      <formula>AND(W109&gt;=$D$43,W109&lt;=$D$44)</formula>
    </cfRule>
  </conditionalFormatting>
  <conditionalFormatting sqref="W109">
    <cfRule type="expression" dxfId="194" priority="17" stopIfTrue="1">
      <formula>OR(W109=$W$16,AND(AND(W109&lt;$F$19,W109&gt;0), $W$16="Prev. Years"))</formula>
    </cfRule>
    <cfRule type="expression" dxfId="193" priority="18" stopIfTrue="1">
      <formula>AND(W109&gt;=$D$43,W109&lt;=$D$44)</formula>
    </cfRule>
  </conditionalFormatting>
  <conditionalFormatting sqref="W109:W111">
    <cfRule type="expression" dxfId="192" priority="15" stopIfTrue="1">
      <formula>OR(W109=$W$16,AND(AND(W109&lt;$F$19,W109&gt;0), $W$16="Prev. Years"))</formula>
    </cfRule>
    <cfRule type="expression" dxfId="191" priority="16" stopIfTrue="1">
      <formula>AND(W109&gt;=$D$43,W109&lt;=$D$44)</formula>
    </cfRule>
  </conditionalFormatting>
  <conditionalFormatting sqref="W107:W108">
    <cfRule type="expression" dxfId="190" priority="13" stopIfTrue="1">
      <formula>OR(W107=$W$16,AND(AND(W107&lt;$F$19,W107&gt;0), $W$16="Prev. Years"))</formula>
    </cfRule>
    <cfRule type="expression" dxfId="189" priority="14" stopIfTrue="1">
      <formula>AND(W107&gt;=$D$43,W107&lt;=$D$44)</formula>
    </cfRule>
  </conditionalFormatting>
  <conditionalFormatting sqref="W108">
    <cfRule type="expression" dxfId="188" priority="11" stopIfTrue="1">
      <formula>OR(W108=$W$16,AND(AND(W108&lt;$F$19,W108&gt;0), $W$16="Prev. Years"))</formula>
    </cfRule>
    <cfRule type="expression" dxfId="187" priority="12" stopIfTrue="1">
      <formula>AND(W108&gt;=$D$43,W108&lt;=$D$44)</formula>
    </cfRule>
  </conditionalFormatting>
  <conditionalFormatting sqref="W108">
    <cfRule type="expression" dxfId="186" priority="9" stopIfTrue="1">
      <formula>OR(W108=$W$16,AND(AND(W108&lt;$F$19,W108&gt;0), $W$16="Prev. Years"))</formula>
    </cfRule>
    <cfRule type="expression" dxfId="185" priority="10" stopIfTrue="1">
      <formula>AND(W108&gt;=$D$43,W108&lt;=$D$44)</formula>
    </cfRule>
  </conditionalFormatting>
  <conditionalFormatting sqref="W108">
    <cfRule type="expression" dxfId="184" priority="7" stopIfTrue="1">
      <formula>OR(W108=$W$16,AND(AND(W108&lt;$F$19,W108&gt;0), $W$16="Prev. Years"))</formula>
    </cfRule>
    <cfRule type="expression" dxfId="183" priority="8" stopIfTrue="1">
      <formula>AND(W108&gt;=$D$43,W108&lt;=$D$44)</formula>
    </cfRule>
  </conditionalFormatting>
  <conditionalFormatting sqref="W107">
    <cfRule type="expression" dxfId="182" priority="5" stopIfTrue="1">
      <formula>OR(W107=$W$16,AND(AND(W107&lt;$F$19,W107&gt;0), $W$16="Prev. Years"))</formula>
    </cfRule>
    <cfRule type="expression" dxfId="181" priority="6" stopIfTrue="1">
      <formula>AND(W107&gt;=$D$43,W107&lt;=$D$44)</formula>
    </cfRule>
  </conditionalFormatting>
  <conditionalFormatting sqref="W107">
    <cfRule type="expression" dxfId="180" priority="3" stopIfTrue="1">
      <formula>OR(W107=$W$16,AND(AND(W107&lt;$F$19,W107&gt;0), $W$16="Prev. Years"))</formula>
    </cfRule>
    <cfRule type="expression" dxfId="179" priority="4" stopIfTrue="1">
      <formula>AND(W107&gt;=$D$43,W107&lt;=$D$44)</formula>
    </cfRule>
  </conditionalFormatting>
  <conditionalFormatting sqref="W107">
    <cfRule type="expression" dxfId="178" priority="1" stopIfTrue="1">
      <formula>OR(W107=$W$16,AND(AND(W107&lt;$F$19,W107&gt;0), $W$16="Prev. Years"))</formula>
    </cfRule>
    <cfRule type="expression" dxfId="177" priority="2" stopIfTrue="1">
      <formula>AND(W107&gt;=$D$43,W107&lt;=$D$44)</formula>
    </cfRule>
  </conditionalFormatting>
  <dataValidations count="24">
    <dataValidation type="list" allowBlank="1" showInputMessage="1" showErrorMessage="1" sqref="N65:N88 N23:N37">
      <formula1>INDIRECT(SUBSTITUTE(AH$14," ","_"))</formula1>
    </dataValidation>
    <dataValidation allowBlank="1" showInputMessage="1" showErrorMessage="1" sqref="N38:N64"/>
    <dataValidation type="date" operator="greaterThan" allowBlank="1" showInputMessage="1" showErrorMessage="1" error="Enter  estimated year that the project should finish, up through the completion of typesetting._x000a__x000a_Enter month and year in this format:_x000a_MMMYYYY_x000a_Example - Sep2015" prompt="IMPORTANT - Enter date in this format:_x000a_DDMMMYYYY   E.g. 30Sep2015" sqref="W15">
      <formula1>36526</formula1>
    </dataValidation>
    <dataValidation allowBlank="1" showInputMessage="1" showErrorMessage="1" error="Enter a year, e.g.1999. TSC prefers projects to be 10 years or less in length, or12 years in  adverse circumstances. It cannot be less than &quot;Planned Year of Completion&quot; minus 11 years. This results in a 12 year project." prompt="IMPORTANT - Enter month and year in this format:_x000a_MMMYYYY_x000a_Eg. Oct2009" sqref="W13"/>
    <dataValidation type="date" operator="greaterThan" allowBlank="1" showInputMessage="1" showErrorMessage="1" error="Enter  estimated year that the project should finish, up through the completion of typesetting._x000a__x000a_Enter month and year in this format:_x000a_MMMYYYY_x000a_E.g. Sep2015" prompt="IMPORTANT - Enter month and year in this format:_x000a_MMM YYYY   Eg. Oct 2005" sqref="W13">
      <formula1>36526</formula1>
    </dataValidation>
    <dataValidation allowBlank="1" showInputMessage="1" showErrorMessage="1" error="Enter a year, e.g.1999. TSC prefers projects to be 10 years or less in length, or12 years in  adverse circumstances. It cannot be less than &quot;Planned Year of Completion&quot; minus 11 years. This results in a 12 year project." prompt="IMPORTANT - Enter month and year in this format:_x000a_MMMYYYY   E.g. Oct2005" sqref="W13"/>
    <dataValidation allowBlank="1" showInputMessage="1" showErrorMessage="1" error="Enter a year, e.g.1999. TSC prefers projects to be 10 years or less in length, or12 years in  adverse circumstances. It cannot be less than &quot;Planned Year of Completion&quot; minus 11 years. This results in a 12 year project." prompt="IMPORTANT - Enter month and year in this format:_x000a_DDMMMYYYY_x000a_E.g  30Sep2018" sqref="W15"/>
    <dataValidation type="date" operator="greaterThan" allowBlank="1" showInputMessage="1" showErrorMessage="1" error="Enter  estimated year that the project should finish, up through the completion of typesetting._x000a__x000a_Enter month and year in this format:_x000a_MMMYYYY_x000a_Example - Sep2015" prompt="IMPORTANT - Enter month and year in this format:_x000a_MMMYYYY   Eg. Oct 2015" sqref="W14">
      <formula1>36526</formula1>
    </dataValidation>
    <dataValidation allowBlank="1" showInputMessage="1" showErrorMessage="1" error="Enter a year, e.g.1999. TSC prefers projects to be 10 years or less in length, or12 years in  adverse circumstances. It cannot be less than &quot;Planned Year of Completion&quot; minus 11 years. This results in a 12 year project." prompt="IMPORTANT - Enter month and year in this format:_x000a_MMMYYYY" sqref="W14"/>
    <dataValidation allowBlank="1" showInputMessage="1" showErrorMessage="1" error="Enter a year, e.g.1999. TSC prefers projects to be 10 years or less in length, or12 years in  adverse circumstances. It cannot be less than &quot;Planned Year of Completion&quot; minus 11 years. This results in a 12 year project." prompt="IMPORTANT - Enter month and year in this format:_x000a_MMMYYYY   E.g. Oct2009" sqref="W14"/>
    <dataValidation allowBlank="1" showInputMessage="1" showErrorMessage="1" error="Enter a year, e.g.1999. TSC prefers projects to be 10 years or less in length, or12 years in  adverse circumstances. It cannot be less than &quot;Planned Year of Completion&quot; minus 11 years. This results in a 12 year project." prompt="IMPORTANT - Enter date in this format:_x000a_DDMMMYYYY   E.g. 30Sep2015" sqref="W15"/>
    <dataValidation type="date" operator="greaterThan" allowBlank="1" showInputMessage="1" showErrorMessage="1" error="Enter  estimated year that the project should finish, up through the completion of typesetting._x000a__x000a_Enter month and year in this format:_x000a_MMMYYYY_x000a_Example - Sep2015" prompt="IMPORTANT - Enter month and year in this format:_x000a_MMM YYYY   Eg. Oct 2005" sqref="N14">
      <formula1>36526</formula1>
    </dataValidation>
    <dataValidation allowBlank="1" showInputMessage="1" showErrorMessage="1" error="Enter a year, e.g.1999. TSC prefers projects to be 10 years or less in length, or12 years in  adverse circumstances. It cannot be less than &quot;Planned Year of Completion&quot; minus 11 years. This results in a 12 year project." prompt="IMPORTANT - Enter month and year in this format:_x000a_MMM YYYYxxxxx" sqref="N14"/>
    <dataValidation allowBlank="1" showInputMessage="1" showErrorMessage="1" error="Enter a year, e.g.1999. TSC prefers projects to be 10 years or less in length, or12 years in  adverse circumstances. It cannot be less than &quot;Planned Year of Completion&quot; minus 11 years. This results in a 12 year project." prompt="IMPORTANT - Enter month and year in this format:_x000a_MMM YYYY_x000a_Eg. Oct 2009" sqref="N14"/>
    <dataValidation operator="lessThan" allowBlank="1" showInputMessage="1" showErrorMessage="1" error="Please enter information only in the leftmost column." sqref="O95:U96 O98:U99 O101:U102 O104:U105 O107:U108 O110:U111"/>
    <dataValidation allowBlank="1" showInputMessage="1" showErrorMessage="1" error="Enter a year, e.g.1999. TSC prefers projects to be 10 years or less in length, or12 years in  adverse circumstances. It cannot be less than &quot;Planned Year of Completion&quot; minus 11 years. This results in a 12 year project." sqref="AI11:AI12 N17:N21 R17:W17 O17:P22 T16 S21:W21"/>
    <dataValidation type="custom" allowBlank="1" showInputMessage="1" showErrorMessage="1" error="Please enter a number between 1980 and 2050, or &quot;Phase 2&quot; or &quot;Phase 3&quot;." sqref="R65:W88 W93:W112">
      <formula1>IF(ISNUMBER(R65),AND(R65&gt;1980,R65&lt;2050),OR(R65="Phase 2",R65="Phase 3"))</formula1>
    </dataValidation>
    <dataValidation type="custom" allowBlank="1" showInputMessage="1" showErrorMessage="1" error="Enter a year, e.g.1999. TSC prefers projects to be 10 years or less in length, or12 years in  adverse circumstances. It cannot be less than &quot;Planned Year of Completion&quot; minus 11 years. This results in a 12 year project." sqref="N22 FL11:IO12 AE23:AE26">
      <formula1>AND(N11&lt;=#REF!,N11&gt;=#REF!-11)</formula1>
    </dataValidation>
    <dataValidation type="decimal" operator="greaterThanOrEqual" allowBlank="1" showInputMessage="1" showErrorMessage="1" error="This number must be equal to or greater than 15. Below that and the spreadsheet calcuations become less accurate." sqref="R21">
      <formula1>0.15</formula1>
    </dataValidation>
    <dataValidation type="custom" allowBlank="1" showInputMessage="1" showErrorMessage="1" error="Please enter a number between 1980 and 2050." sqref="R23:W64">
      <formula1>IF(ISNUMBER(R23),AND(R23&gt;1980,R23&lt;2050),OR(R23="Phase 2",R23="Phase 3"))</formula1>
    </dataValidation>
    <dataValidation allowBlank="1" showInputMessage="1" showErrorMessage="1" error="Please enter a number between 1990 and 2050!" sqref="F19:F38 H19:H38"/>
    <dataValidation type="custom" allowBlank="1" showInputMessage="1" showErrorMessage="1" error="Enter a year, e.g.1999. TSC prefers projects to be 10 years or less in length, or12 years in  adverse circumstances. It cannot be less than &quot;Planned Year of Completion&quot; minus 11 years. This results in a 12 year project." sqref="AG11:AG12">
      <formula1>AND(AG11&lt;=AK13,AG11&gt;=AK13-11)</formula1>
    </dataValidation>
    <dataValidation type="custom" allowBlank="1" showInputMessage="1" showErrorMessage="1" error="Enter a year, e.g.1999. TSC prefers projects to be 10 years or less in length, or12 years in  adverse circumstances. It cannot be less than &quot;Planned Year of Completion&quot; minus 11 years. This results in a 12 year project." sqref="AF11">
      <formula1>AND(AF11&lt;=CA13,AF11&gt;=CA13-11)</formula1>
    </dataValidation>
    <dataValidation type="custom" allowBlank="1" showInputMessage="1" showErrorMessage="1" error="Enter a year, e.g.1999. TSC prefers projects to be 10 years or less in length, or12 years in  adverse circumstances. It cannot be less than &quot;Planned Year of Completion&quot; minus 11 years. This results in a 12 year project." sqref="AJ11:FK12">
      <formula1>AND(AJ11&lt;=CC13,AJ11&gt;=CC13-11)</formula1>
    </dataValidation>
  </dataValidations>
  <pageMargins left="0.7" right="0.7" top="0.75" bottom="0.75" header="0.3" footer="0.3"/>
  <drawing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CZ215"/>
  <sheetViews>
    <sheetView tabSelected="1" topLeftCell="O16" workbookViewId="0">
      <selection activeCell="AE45" sqref="AE45"/>
    </sheetView>
  </sheetViews>
  <sheetFormatPr defaultColWidth="9.140625" defaultRowHeight="12.75" x14ac:dyDescent="0.25"/>
  <cols>
    <col min="1" max="14" width="9.140625" style="244" hidden="1" customWidth="1"/>
    <col min="15" max="15" width="1.5703125" style="244" customWidth="1"/>
    <col min="16" max="16" width="21.5703125" style="244" customWidth="1"/>
    <col min="17" max="17" width="8.42578125" style="244" customWidth="1"/>
    <col min="18" max="18" width="4.5703125" style="244" customWidth="1"/>
    <col min="19" max="19" width="6.5703125" style="244" customWidth="1"/>
    <col min="20" max="20" width="4.5703125" style="244" customWidth="1"/>
    <col min="21" max="21" width="6.5703125" style="244" customWidth="1"/>
    <col min="22" max="22" width="4.5703125" style="244" customWidth="1"/>
    <col min="23" max="23" width="6.5703125" style="244" customWidth="1"/>
    <col min="24" max="24" width="4.5703125" style="244" customWidth="1"/>
    <col min="25" max="25" width="6.5703125" style="244" customWidth="1"/>
    <col min="26" max="26" width="4.5703125" style="244" customWidth="1"/>
    <col min="27" max="27" width="6.5703125" style="244" customWidth="1"/>
    <col min="28" max="28" width="4.5703125" style="244" customWidth="1"/>
    <col min="29" max="29" width="6.5703125" style="244" customWidth="1"/>
    <col min="30" max="30" width="1" style="244" customWidth="1"/>
    <col min="31" max="31" width="8.5703125" style="244" customWidth="1"/>
    <col min="32" max="32" width="14.42578125" style="244" customWidth="1"/>
    <col min="33" max="33" width="10.140625" style="244" customWidth="1"/>
    <col min="34" max="35" width="6.5703125" style="244" customWidth="1"/>
    <col min="36" max="37" width="6.5703125" style="259" customWidth="1"/>
    <col min="38" max="39" width="10.28515625" style="244" customWidth="1"/>
    <col min="40" max="40" width="10.85546875" style="244" customWidth="1"/>
    <col min="41" max="41" width="10.28515625" style="259" customWidth="1"/>
    <col min="42" max="42" width="9.5703125" style="259" customWidth="1"/>
    <col min="43" max="43" width="3.5703125" style="259" customWidth="1"/>
    <col min="44" max="46" width="6.5703125" style="259" hidden="1" customWidth="1"/>
    <col min="47" max="47" width="6.5703125" style="244" hidden="1" customWidth="1"/>
    <col min="48" max="48" width="8.5703125" style="244" hidden="1" customWidth="1"/>
    <col min="49" max="59" width="8.140625" style="244" hidden="1" customWidth="1"/>
    <col min="60" max="60" width="8.140625" style="250" hidden="1" customWidth="1"/>
    <col min="61" max="61" width="6.42578125" style="249" hidden="1" customWidth="1"/>
    <col min="62" max="62" width="6.28515625" style="250" hidden="1" customWidth="1"/>
    <col min="63" max="63" width="10.140625" style="244" hidden="1" customWidth="1"/>
    <col min="64" max="64" width="10" style="244" hidden="1" customWidth="1"/>
    <col min="65" max="65" width="10.42578125" style="244" hidden="1" customWidth="1"/>
    <col min="66" max="66" width="13.85546875" style="244" hidden="1" customWidth="1"/>
    <col min="67" max="77" width="0.42578125" style="244" hidden="1" customWidth="1"/>
    <col min="78" max="78" width="1.140625" style="244" hidden="1" customWidth="1"/>
    <col min="79" max="79" width="21.5703125" style="244" hidden="1" customWidth="1"/>
    <col min="80" max="80" width="11.5703125" style="244" hidden="1" customWidth="1"/>
    <col min="81" max="82" width="9" style="244" hidden="1" customWidth="1"/>
    <col min="83" max="83" width="10.140625" style="244" hidden="1" customWidth="1"/>
    <col min="84" max="84" width="9.85546875" style="244" hidden="1" customWidth="1"/>
    <col min="85" max="85" width="10" style="244" hidden="1" customWidth="1"/>
    <col min="86" max="86" width="9" style="244" hidden="1" customWidth="1"/>
    <col min="87" max="87" width="8" style="244" hidden="1" customWidth="1"/>
    <col min="88" max="88" width="7" style="244" hidden="1" customWidth="1"/>
    <col min="89" max="89" width="8.5703125" style="244" hidden="1" customWidth="1"/>
    <col min="90" max="90" width="4.5703125" style="244" hidden="1" customWidth="1"/>
    <col min="91" max="91" width="7.85546875" style="244" hidden="1" customWidth="1"/>
    <col min="92" max="92" width="5.5703125" style="244" hidden="1" customWidth="1"/>
    <col min="93" max="93" width="7.42578125" style="244" hidden="1" customWidth="1"/>
    <col min="94" max="94" width="6.5703125" style="244" hidden="1" customWidth="1"/>
    <col min="95" max="95" width="7.42578125" style="244" hidden="1" customWidth="1"/>
    <col min="96" max="96" width="6.85546875" style="244" hidden="1" customWidth="1"/>
    <col min="97" max="97" width="8" style="244" hidden="1" customWidth="1"/>
    <col min="98" max="98" width="7.5703125" style="244" hidden="1" customWidth="1"/>
    <col min="99" max="99" width="8.5703125" style="244" hidden="1" customWidth="1"/>
    <col min="100" max="100" width="7.5703125" style="244" hidden="1" customWidth="1"/>
    <col min="101" max="101" width="6.28515625" style="244" hidden="1" customWidth="1"/>
    <col min="102" max="104" width="9.140625" style="244" hidden="1" customWidth="1"/>
    <col min="105" max="16384" width="9.140625" style="244"/>
  </cols>
  <sheetData>
    <row r="1" spans="29:29" s="244" customFormat="1" hidden="1" x14ac:dyDescent="0.25"/>
    <row r="2" spans="29:29" s="244" customFormat="1" hidden="1" x14ac:dyDescent="0.25"/>
    <row r="3" spans="29:29" s="244" customFormat="1" hidden="1" x14ac:dyDescent="0.25"/>
    <row r="4" spans="29:29" s="244" customFormat="1" hidden="1" x14ac:dyDescent="0.25"/>
    <row r="5" spans="29:29" s="244" customFormat="1" hidden="1" x14ac:dyDescent="0.25"/>
    <row r="6" spans="29:29" s="244" customFormat="1" hidden="1" x14ac:dyDescent="0.25"/>
    <row r="7" spans="29:29" s="244" customFormat="1" hidden="1" x14ac:dyDescent="0.25"/>
    <row r="8" spans="29:29" s="244" customFormat="1" hidden="1" x14ac:dyDescent="0.25"/>
    <row r="9" spans="29:29" s="244" customFormat="1" hidden="1" x14ac:dyDescent="0.25"/>
    <row r="10" spans="29:29" s="244" customFormat="1" hidden="1" x14ac:dyDescent="0.25"/>
    <row r="11" spans="29:29" s="244" customFormat="1" hidden="1" x14ac:dyDescent="0.25"/>
    <row r="12" spans="29:29" s="244" customFormat="1" hidden="1" x14ac:dyDescent="0.25"/>
    <row r="13" spans="29:29" s="244" customFormat="1" hidden="1" x14ac:dyDescent="0.25"/>
    <row r="14" spans="29:29" s="244" customFormat="1" hidden="1" x14ac:dyDescent="0.25"/>
    <row r="15" spans="29:29" s="244" customFormat="1" hidden="1" x14ac:dyDescent="0.25"/>
    <row r="16" spans="29:29" s="244" customFormat="1" ht="6.75" customHeight="1" thickBot="1" x14ac:dyDescent="0.3">
      <c r="AC16" s="245"/>
    </row>
    <row r="17" spans="16:102" ht="36.75" customHeight="1" thickBot="1" x14ac:dyDescent="0.3">
      <c r="P17" s="512" t="str">
        <f>Planning!N13&amp;" Progress Table"</f>
        <v>MEP Progress Table</v>
      </c>
      <c r="Q17" s="513"/>
      <c r="R17" s="513"/>
      <c r="S17" s="513"/>
      <c r="T17" s="513"/>
      <c r="U17" s="513"/>
      <c r="V17" s="513"/>
      <c r="W17" s="513"/>
      <c r="X17" s="513"/>
      <c r="Y17" s="513"/>
      <c r="Z17" s="513"/>
      <c r="AA17" s="513"/>
      <c r="AB17" s="513"/>
      <c r="AC17" s="514"/>
      <c r="AD17" s="2"/>
      <c r="AE17" s="515" t="s">
        <v>0</v>
      </c>
      <c r="AF17" s="516"/>
      <c r="AG17" s="516"/>
      <c r="AH17" s="516"/>
      <c r="AI17" s="516"/>
      <c r="AJ17" s="516"/>
      <c r="AK17" s="516"/>
      <c r="AL17" s="516"/>
      <c r="AM17" s="517"/>
      <c r="AN17" s="518" t="s">
        <v>1</v>
      </c>
      <c r="AO17" s="519"/>
      <c r="AP17" s="520"/>
      <c r="AQ17" s="246"/>
      <c r="AR17" s="244">
        <f>VE</f>
        <v>3934.75</v>
      </c>
      <c r="AS17" s="244"/>
      <c r="AT17" s="244"/>
      <c r="BF17" s="247"/>
      <c r="BH17" s="248"/>
    </row>
    <row r="18" spans="16:102" ht="25.5" customHeight="1" thickBot="1" x14ac:dyDescent="0.3">
      <c r="P18" s="521" t="s">
        <v>2</v>
      </c>
      <c r="Q18" s="522"/>
      <c r="R18" s="522"/>
      <c r="S18" s="522"/>
      <c r="T18" s="522"/>
      <c r="U18" s="522"/>
      <c r="V18" s="522"/>
      <c r="W18" s="522"/>
      <c r="X18" s="522"/>
      <c r="Y18" s="522"/>
      <c r="Z18" s="523"/>
      <c r="AA18" s="3" t="s">
        <v>6</v>
      </c>
      <c r="AB18" s="524">
        <v>2020</v>
      </c>
      <c r="AC18" s="525"/>
      <c r="AD18" s="2"/>
      <c r="AE18" s="526" t="s">
        <v>4</v>
      </c>
      <c r="AF18" s="527"/>
      <c r="AG18" s="4">
        <f>IF(AR18=1,[1]Calculations!U22,AR17)</f>
        <v>3934.75</v>
      </c>
      <c r="AH18" s="5" t="s">
        <v>5</v>
      </c>
      <c r="AI18" s="6" t="s">
        <v>6</v>
      </c>
      <c r="AJ18" s="7" t="s">
        <v>7</v>
      </c>
      <c r="AK18" s="8" t="s">
        <v>3</v>
      </c>
      <c r="AL18" s="9" t="s">
        <v>8</v>
      </c>
      <c r="AM18" s="9" t="s">
        <v>9</v>
      </c>
      <c r="AN18" s="10" t="s">
        <v>10</v>
      </c>
      <c r="AO18" s="11" t="s">
        <v>11</v>
      </c>
      <c r="AP18" s="12" t="s">
        <v>12</v>
      </c>
      <c r="AQ18" s="247"/>
      <c r="AR18" s="251">
        <v>2</v>
      </c>
      <c r="AS18" s="247" t="e">
        <f>IF(AR18=1,AO40,AO40/VE)</f>
        <v>#REF!</v>
      </c>
      <c r="AT18" s="247"/>
      <c r="BH18" s="250">
        <f>MAX([1]Planning!R23:W88)</f>
        <v>2019</v>
      </c>
      <c r="BI18" s="252" t="s">
        <v>13</v>
      </c>
      <c r="BL18" s="247"/>
      <c r="BO18" s="253"/>
      <c r="BP18" s="253"/>
      <c r="BQ18" s="253"/>
      <c r="BR18" s="253"/>
      <c r="BS18" s="253"/>
      <c r="BT18" s="253"/>
      <c r="BU18" s="253"/>
      <c r="BV18" s="253"/>
      <c r="BW18" s="253"/>
      <c r="BX18" s="253"/>
      <c r="BY18" s="253"/>
      <c r="BZ18" s="253"/>
      <c r="CA18" s="253"/>
      <c r="CB18" s="253"/>
      <c r="CJ18" s="551" t="s">
        <v>14</v>
      </c>
      <c r="CK18" s="552"/>
      <c r="CL18" s="553"/>
      <c r="CM18" s="554"/>
      <c r="CN18" s="554"/>
      <c r="CO18" s="554"/>
      <c r="CP18" s="554"/>
      <c r="CQ18" s="554"/>
      <c r="CR18" s="554"/>
      <c r="CS18" s="554"/>
      <c r="CT18" s="554"/>
      <c r="CU18" s="554"/>
      <c r="CV18" s="554"/>
      <c r="CW18" s="554"/>
      <c r="CX18" s="555"/>
    </row>
    <row r="19" spans="16:102" ht="12.75" customHeight="1" thickBot="1" x14ac:dyDescent="0.3">
      <c r="P19" s="502" t="s">
        <v>15</v>
      </c>
      <c r="Q19" s="505" t="str">
        <f>[1]Planning!Q17</f>
        <v>Verses in this Project</v>
      </c>
      <c r="R19" s="502" t="str">
        <f>[1]Planning!R18</f>
        <v>Exegesis &amp; First Draft</v>
      </c>
      <c r="S19" s="508"/>
      <c r="T19" s="356" t="str">
        <f>[1]Planning!S18</f>
        <v>Team Check</v>
      </c>
      <c r="U19" s="508"/>
      <c r="V19" s="356" t="str">
        <f>[1]Planning!T18</f>
        <v>Advisor check and back transaltion</v>
      </c>
      <c r="W19" s="508"/>
      <c r="X19" s="356" t="str">
        <f>[1]Planning!U18</f>
        <v>community testing</v>
      </c>
      <c r="Y19" s="508"/>
      <c r="Z19" s="356" t="str">
        <f>[1]Planning!V18</f>
        <v>Con-sultant Check</v>
      </c>
      <c r="AA19" s="508"/>
      <c r="AB19" s="356" t="str">
        <f>[1]Planning!W18</f>
        <v>Pub-lished</v>
      </c>
      <c r="AC19" s="571"/>
      <c r="AD19" s="2"/>
      <c r="AE19" s="13"/>
      <c r="AF19" s="14" t="s">
        <v>16</v>
      </c>
      <c r="AG19" s="15"/>
      <c r="AH19" s="85"/>
      <c r="AI19" s="86"/>
      <c r="AJ19" s="86"/>
      <c r="AK19" s="16"/>
      <c r="AL19" s="17">
        <f>IF($AR$18=1,[1]Planning!AG18,[1]Planning!AG18*VE)</f>
        <v>1113.6999999999998</v>
      </c>
      <c r="AM19" s="18">
        <f t="array" ref="AM19">IF($AR$18=1,SUM((ProgYearDone&lt;Year1)*(ProgYearDone&gt;1980)*ProgPrcntDone),SUM((ProgYearDone&lt;Year1)*(ProgYearDone&gt;1980)*ProgPrcntDone)*VE)</f>
        <v>1113.6999999999998</v>
      </c>
      <c r="AN19" s="19">
        <f>AL19</f>
        <v>1113.6999999999998</v>
      </c>
      <c r="AO19" s="20">
        <f>IF($AR$18,IF(ISNUMBER(AM19),(AM19),""),IF(ISNUMBER(AM19),(AM19),"")*VE)</f>
        <v>1113.6999999999998</v>
      </c>
      <c r="AP19" s="21" t="e">
        <f>IF(AN19="","",IF(AG19&lt;=RptYr,AO19-AN19,""))</f>
        <v>#REF!</v>
      </c>
      <c r="AQ19" s="244"/>
      <c r="AR19" s="574" t="s">
        <v>17</v>
      </c>
      <c r="AS19" s="575"/>
      <c r="AT19" s="575"/>
      <c r="AU19" s="576"/>
      <c r="AV19" s="254">
        <f>[1]Planning!D43</f>
        <v>2017</v>
      </c>
      <c r="BH19" s="255" t="e">
        <f ca="1">IF(BH27=1,0,IF(ISERROR(BH25),"Insuf. Data",IF(SUM(BM23:BM106)=0,"Insuf. Data",IF(BH25&lt;12,"Insuf. Data",(1-AS18)/(SUM(OFFSET(BH27,MATCH(BH24,BH27:BH106,0)-12,5,12))/IF(AR18=1,1,VE)/12)*91.31+((RptYr-1900)*365)+91.31*RIGHT(RptQtr)))))</f>
        <v>#REF!</v>
      </c>
      <c r="BI19" s="577" t="s">
        <v>18</v>
      </c>
      <c r="BJ19" s="578"/>
      <c r="BK19" s="578"/>
      <c r="BL19" s="578"/>
      <c r="BM19" s="578"/>
      <c r="BN19" s="579"/>
      <c r="BO19" s="256"/>
      <c r="BP19" s="256"/>
      <c r="BQ19" s="256"/>
      <c r="BR19" s="256"/>
      <c r="BS19" s="256"/>
      <c r="BT19" s="256"/>
      <c r="BU19" s="256"/>
      <c r="BV19" s="256"/>
      <c r="BW19" s="256"/>
      <c r="BX19" s="256"/>
      <c r="BY19" s="256"/>
      <c r="BZ19" s="256"/>
      <c r="CA19" s="257"/>
      <c r="CB19" s="257"/>
      <c r="CC19" s="257"/>
      <c r="CD19" s="257"/>
      <c r="CE19" s="257"/>
      <c r="CF19" s="257"/>
      <c r="CG19" s="257"/>
      <c r="CH19" s="257"/>
      <c r="CI19" s="257"/>
      <c r="CJ19" s="556" t="s">
        <v>19</v>
      </c>
      <c r="CK19" s="534"/>
      <c r="CL19" s="557"/>
      <c r="CM19" s="558"/>
      <c r="CN19" s="556" t="s">
        <v>20</v>
      </c>
      <c r="CO19" s="559"/>
      <c r="CP19" s="556" t="s">
        <v>21</v>
      </c>
      <c r="CQ19" s="559"/>
      <c r="CR19" s="534" t="s">
        <v>22</v>
      </c>
      <c r="CS19" s="534"/>
      <c r="CT19" s="549" t="s">
        <v>23</v>
      </c>
      <c r="CU19" s="550"/>
      <c r="CV19" s="550"/>
      <c r="CW19" s="550"/>
      <c r="CX19" s="337"/>
    </row>
    <row r="20" spans="16:102" ht="13.5" thickBot="1" x14ac:dyDescent="0.3">
      <c r="P20" s="503"/>
      <c r="Q20" s="506"/>
      <c r="R20" s="503"/>
      <c r="S20" s="509"/>
      <c r="T20" s="509"/>
      <c r="U20" s="509"/>
      <c r="V20" s="509"/>
      <c r="W20" s="509"/>
      <c r="X20" s="509"/>
      <c r="Y20" s="509"/>
      <c r="Z20" s="509"/>
      <c r="AA20" s="509"/>
      <c r="AB20" s="509"/>
      <c r="AC20" s="572"/>
      <c r="AD20" s="2"/>
      <c r="AE20" s="22">
        <v>1</v>
      </c>
      <c r="AF20" s="23" t="s">
        <v>24</v>
      </c>
      <c r="AG20" s="258">
        <f>Year1</f>
        <v>2017</v>
      </c>
      <c r="AH20" s="24" t="e">
        <f t="shared" ref="AH20" si="0">IF(AR20="","",IF($AR$18=1,AR20,AR20*VE))</f>
        <v>#REF!</v>
      </c>
      <c r="AI20" s="24" t="e">
        <f t="shared" ref="AI20" si="1">IF(AS20="","",IF($AR$18=1,AS20,AS20*VE))</f>
        <v>#REF!</v>
      </c>
      <c r="AJ20" s="24" t="e">
        <f t="shared" ref="AJ20" si="2">IF(AT20="","",IF($AR$18=1,AT20,AT20*VE))</f>
        <v>#REF!</v>
      </c>
      <c r="AK20" s="24" t="e">
        <f t="shared" ref="AK20" si="3">IF(AU20="","",IF($AR$18=1,AU20,AU20*VE))</f>
        <v>#REF!</v>
      </c>
      <c r="AL20" s="25" t="e">
        <f>IF([1]Planning!AG19=0,,IF($AR$18=1,IF(AG20&lt;RptYr,[1]Planning!AG19,IF(AG20=RptYr,VLOOKUP((RptYr),YearAndPrcntPlanned,28)*RIGHT(RptQtr)*0.25,[1]Planning!AG19)),IF(AG20&lt;RptYr,[1]Planning!AG19*VE,IF(AG20=RptYr,VLOOKUP((RptYr),YearAndPrcntPlanned,28)*RIGHT(RptQtr)*0.25*VE,[1]Planning!AG19*VE))))</f>
        <v>#REF!</v>
      </c>
      <c r="AM20" s="18" t="e">
        <f t="shared" ref="AM20" si="4">IF($AR$18=1,IF(AG20&lt;=RptYr,SUM(AR20:AU20),""),IF(AG20&lt;=RptYr,SUM(AR20:AU20)*VE,""))</f>
        <v>#REF!</v>
      </c>
      <c r="AN20" s="19" t="e">
        <f t="shared" ref="AN20" si="5">IF(AG20&lt;=RptYr,(AN19+IF(AL20="",0,AL20)),"")</f>
        <v>#REF!</v>
      </c>
      <c r="AO20" s="20" t="e">
        <f t="shared" ref="AO20" si="6">IF(AG20&lt;=RptYr,(AM20+AO19),"")</f>
        <v>#REF!</v>
      </c>
      <c r="AP20" s="21" t="e">
        <f t="shared" ref="AP20" si="7">IF(AG20&lt;=RptYr,(AO20-AN20),"")</f>
        <v>#REF!</v>
      </c>
      <c r="AR20" s="26" t="e">
        <f t="array" ref="AR20">IF(LEN($AG20)&lt;4,"",IF(RptYr*4+RIGHT(RptQtr,1)&gt;=$AG20*4+RIGHT(AH$18,1),SUM((ProgYearDone=$AG20)*(ProgQuarter=AH$18)*ProgPrcntDone)+IF(AND(RptYr=$AG20,RptQtr=AH$18),[1]Calculations!$O$419),""))</f>
        <v>#REF!</v>
      </c>
      <c r="AS20" s="26" t="e">
        <f t="array" ref="AS20">IF(LEN($AG20)&lt;4,"",IF(RptYr*4+RIGHT(RptQtr,1)&gt;=$AG20*4+RIGHT(AI$18,1),SUM((ProgYearDone=$AG20)*(ProgQuarter=AI$18)*ProgPrcntDone)+IF(AND(RptYr=$AG20,RptQtr=AI$18),[1]Calculations!$O$419),""))</f>
        <v>#REF!</v>
      </c>
      <c r="AT20" s="26" t="e">
        <f t="array" ref="AT20">IF(LEN($AG20)&lt;4,"",IF(RptYr*4+RIGHT(RptQtr,1)&gt;=$AG20*4+RIGHT(AJ$18,1),SUM((ProgYearDone=$AG20)*(ProgQuarter=AJ$18)*ProgPrcntDone)+IF(AND(RptYr=$AG20,RptQtr=AJ$18),[1]Calculations!$O$419),""))</f>
        <v>#REF!</v>
      </c>
      <c r="AU20" s="26" t="e">
        <f t="array" ref="AU20">IF(LEN($AG20)&lt;4,"",IF(RptYr*4+RIGHT(RptQtr,1)&gt;=$AG20*4+RIGHT(AK$18,1),SUM((ProgYearDone=$AG20)*(ProgQuarter=AK$18)*ProgPrcntDone)+IF(AND(RptYr=$AG20,RptQtr=AK$18),[1]Calculations!$O$419),""))</f>
        <v>#REF!</v>
      </c>
      <c r="AV20" s="254">
        <f>[1]Planning!D44</f>
        <v>2019</v>
      </c>
      <c r="BH20" s="27">
        <f>LEFT(([1]Planning!W13/365.25)+1900,4)*1</f>
        <v>2016</v>
      </c>
      <c r="BI20" s="581" t="s">
        <v>25</v>
      </c>
      <c r="BJ20" s="584" t="s">
        <v>26</v>
      </c>
      <c r="BK20" s="587" t="s">
        <v>27</v>
      </c>
      <c r="BL20" s="588"/>
      <c r="BM20" s="587" t="s">
        <v>28</v>
      </c>
      <c r="BN20" s="589"/>
      <c r="BO20" s="256"/>
      <c r="BP20" s="256"/>
      <c r="BQ20" s="256"/>
      <c r="BR20" s="256"/>
      <c r="BS20" s="256"/>
      <c r="BT20" s="256"/>
      <c r="BU20" s="256"/>
      <c r="BV20" s="256"/>
      <c r="BW20" s="256"/>
      <c r="BX20" s="256"/>
      <c r="BY20" s="256"/>
      <c r="BZ20" s="256"/>
      <c r="CA20" s="528" t="s">
        <v>29</v>
      </c>
      <c r="CB20" s="528" t="s">
        <v>30</v>
      </c>
      <c r="CC20" s="546" t="s">
        <v>31</v>
      </c>
      <c r="CD20" s="531" t="s">
        <v>32</v>
      </c>
      <c r="CE20" s="531" t="str">
        <f>[1]Planning!T14</f>
        <v>Begin Date of Current Phase:</v>
      </c>
      <c r="CF20" s="531" t="str">
        <f>[1]Planning!T15</f>
        <v>End Date of Current Phase:</v>
      </c>
      <c r="CG20" s="543" t="str">
        <f>[1]Progress!AG40</f>
        <v>Calculated Year of Completion</v>
      </c>
      <c r="CH20" s="543" t="str">
        <f>[1]Progress!AG41</f>
        <v>Projected Year of Completion</v>
      </c>
      <c r="CI20" s="543" t="s">
        <v>33</v>
      </c>
      <c r="CJ20" s="528" t="s">
        <v>34</v>
      </c>
      <c r="CK20" s="531" t="s">
        <v>35</v>
      </c>
      <c r="CL20" s="531" t="s">
        <v>36</v>
      </c>
      <c r="CM20" s="543" t="s">
        <v>37</v>
      </c>
      <c r="CN20" s="528" t="s">
        <v>38</v>
      </c>
      <c r="CO20" s="531" t="s">
        <v>37</v>
      </c>
      <c r="CP20" s="528" t="s">
        <v>38</v>
      </c>
      <c r="CQ20" s="531" t="s">
        <v>37</v>
      </c>
      <c r="CR20" s="528" t="s">
        <v>38</v>
      </c>
      <c r="CS20" s="543" t="s">
        <v>37</v>
      </c>
      <c r="CT20" s="565" t="s">
        <v>33</v>
      </c>
      <c r="CU20" s="531" t="s">
        <v>39</v>
      </c>
      <c r="CV20" s="543" t="s">
        <v>12</v>
      </c>
      <c r="CW20" s="562" t="s">
        <v>40</v>
      </c>
      <c r="CX20" s="562" t="s">
        <v>41</v>
      </c>
    </row>
    <row r="21" spans="16:102" ht="14.25" customHeight="1" thickBot="1" x14ac:dyDescent="0.3">
      <c r="P21" s="503"/>
      <c r="Q21" s="506"/>
      <c r="R21" s="510"/>
      <c r="S21" s="511"/>
      <c r="T21" s="511"/>
      <c r="U21" s="511"/>
      <c r="V21" s="511"/>
      <c r="W21" s="511"/>
      <c r="X21" s="511"/>
      <c r="Y21" s="511"/>
      <c r="Z21" s="511"/>
      <c r="AA21" s="511"/>
      <c r="AB21" s="511"/>
      <c r="AC21" s="573"/>
      <c r="AD21" s="2"/>
      <c r="AE21" s="28">
        <v>2</v>
      </c>
      <c r="AF21" s="23" t="s">
        <v>24</v>
      </c>
      <c r="AG21" s="258">
        <f>Year2</f>
        <v>2018</v>
      </c>
      <c r="AH21" s="24" t="e">
        <f t="shared" ref="AH21" si="8">IF(AR21="","",IF($AR$18=1,AR21,AR21*VE))</f>
        <v>#REF!</v>
      </c>
      <c r="AI21" s="24" t="e">
        <f t="shared" ref="AI21" si="9">IF(AS21="","",IF($AR$18=1,AS21,AS21*VE))</f>
        <v>#REF!</v>
      </c>
      <c r="AJ21" s="24" t="e">
        <f t="shared" ref="AJ21" si="10">IF(AT21="","",IF($AR$18=1,AT21,AT21*VE))</f>
        <v>#REF!</v>
      </c>
      <c r="AK21" s="24" t="e">
        <f t="shared" ref="AK21" si="11">IF(AU21="","",IF($AR$18=1,AU21,AU21*VE))</f>
        <v>#REF!</v>
      </c>
      <c r="AL21" s="29" t="e">
        <f>IF([1]Planning!AG20=0,"",IF($AR$18=1,IF(AG21&lt;RptYr,[1]Planning!AG20,IF(AG21=RptYr,VLOOKUP((RptYr),YearAndPrcntPlanned,28)*RIGHT(RptQtr)*0.25,[1]Planning!AG20)),IF(AG21&lt;RptYr,[1]Planning!AG20*VE,IF(AG21=RptYr,VLOOKUP((RptYr),YearAndPrcntPlanned,28)*RIGHT(RptQtr)*0.25*VE,[1]Planning!AG20*VE))))</f>
        <v>#REF!</v>
      </c>
      <c r="AM21" s="30" t="e">
        <f t="shared" ref="AM21" si="12">IF($AR$18=1,IF(AG21&lt;=RptYr,SUM(AR21:AU21),""),IF(AG21&lt;=RptYr,SUM(AR21:AU21)*VE,""))</f>
        <v>#REF!</v>
      </c>
      <c r="AN21" s="31" t="e">
        <f t="shared" ref="AN21" si="13">IF(AG21&lt;=RptYr,(AN20+IF(AL21="",0,AL21)),"")</f>
        <v>#REF!</v>
      </c>
      <c r="AO21" s="32" t="e">
        <f t="shared" ref="AO21" si="14">IF(AG21&lt;=RptYr,(AM21+AO20),"")</f>
        <v>#REF!</v>
      </c>
      <c r="AP21" s="33" t="e">
        <f t="shared" ref="AP21" si="15">IF(AG21&lt;=RptYr,(AO21-AN21),"")</f>
        <v>#REF!</v>
      </c>
      <c r="AR21" s="24" t="e">
        <f t="array" ref="AR21">IF(LEN($AG21)&lt;4,"",IF(RptYr*4+RIGHT(RptQtr,1)&gt;=$AG21*4+RIGHT(AH$18,1),SUM((ProgYearDone=$AG21)*(ProgQuarter=AH$18)*ProgPrcntDone)+IF(AND(RptYr=$AG21,RptQtr=AH$18),[1]Calculations!$O$419),""))</f>
        <v>#REF!</v>
      </c>
      <c r="AS21" s="24" t="e">
        <f t="array" ref="AS21">IF(LEN($AG21)&lt;4,"",IF(RptYr*4+RIGHT(RptQtr,1)&gt;=$AG21*4+RIGHT(AI$18,1),SUM((ProgYearDone=$AG21)*(ProgQuarter=AI$18)*ProgPrcntDone)+IF(AND(RptYr=$AG21,RptQtr=AI$18),[1]Calculations!$O$419),""))</f>
        <v>#REF!</v>
      </c>
      <c r="AT21" s="24" t="e">
        <f t="array" ref="AT21">IF(LEN($AG21)&lt;4,"",IF(RptYr*4+RIGHT(RptQtr,1)&gt;=$AG21*4+RIGHT(AJ$18,1),SUM((ProgYearDone=$AG21)*(ProgQuarter=AJ$18)*ProgPrcntDone)+IF(AND(RptYr=$AG21,RptQtr=AJ$18),[1]Calculations!$O$419),""))</f>
        <v>#REF!</v>
      </c>
      <c r="AU21" s="24" t="e">
        <f t="array" ref="AU21">IF(LEN($AG21)&lt;4,"",IF(RptYr*4+RIGHT(RptQtr,1)&gt;=$AG21*4+RIGHT(AK$18,1),SUM((ProgYearDone=$AG21)*(ProgQuarter=AK$18)*ProgPrcntDone)+IF(AND(RptYr=$AG21,RptQtr=AK$18),[1]Calculations!$O$419),""))</f>
        <v>#REF!</v>
      </c>
      <c r="AV21" s="535" t="s">
        <v>42</v>
      </c>
      <c r="AW21" s="536"/>
      <c r="AX21" s="536"/>
      <c r="AY21" s="536"/>
      <c r="AZ21" s="536"/>
      <c r="BA21" s="536"/>
      <c r="BB21" s="536"/>
      <c r="BC21" s="536"/>
      <c r="BD21" s="536"/>
      <c r="BE21" s="536"/>
      <c r="BF21" s="536"/>
      <c r="BG21" s="537"/>
      <c r="BH21" s="27">
        <f>(([1]Planning!W13/365.25)+1900-INT(([1]Planning!W13/365.25)+1900))*1.00275</f>
        <v>0.75497946611905975</v>
      </c>
      <c r="BI21" s="582"/>
      <c r="BJ21" s="585"/>
      <c r="BK21" s="538" t="s">
        <v>43</v>
      </c>
      <c r="BL21" s="540" t="s">
        <v>44</v>
      </c>
      <c r="BM21" s="538" t="s">
        <v>45</v>
      </c>
      <c r="BN21" s="540" t="s">
        <v>46</v>
      </c>
      <c r="BO21" s="256"/>
      <c r="BP21" s="256"/>
      <c r="BQ21" s="256"/>
      <c r="BR21" s="256"/>
      <c r="BS21" s="256"/>
      <c r="BT21" s="256"/>
      <c r="BU21" s="256"/>
      <c r="BV21" s="256"/>
      <c r="BW21" s="256"/>
      <c r="BX21" s="256"/>
      <c r="BY21" s="256"/>
      <c r="BZ21" s="256"/>
      <c r="CA21" s="529"/>
      <c r="CB21" s="529"/>
      <c r="CC21" s="547"/>
      <c r="CD21" s="532"/>
      <c r="CE21" s="532"/>
      <c r="CF21" s="532"/>
      <c r="CG21" s="544"/>
      <c r="CH21" s="544"/>
      <c r="CI21" s="544"/>
      <c r="CJ21" s="529"/>
      <c r="CK21" s="532"/>
      <c r="CL21" s="532"/>
      <c r="CM21" s="544"/>
      <c r="CN21" s="529"/>
      <c r="CO21" s="532"/>
      <c r="CP21" s="529"/>
      <c r="CQ21" s="532"/>
      <c r="CR21" s="529"/>
      <c r="CS21" s="544"/>
      <c r="CT21" s="566"/>
      <c r="CU21" s="532"/>
      <c r="CV21" s="544"/>
      <c r="CW21" s="563"/>
      <c r="CX21" s="563"/>
    </row>
    <row r="22" spans="16:102" ht="13.5" thickBot="1" x14ac:dyDescent="0.3">
      <c r="P22" s="504"/>
      <c r="Q22" s="507"/>
      <c r="R22" s="568">
        <f>SUM(PrgPrcnDn1Drft)/[1]Planning!R21</f>
        <v>1</v>
      </c>
      <c r="S22" s="569"/>
      <c r="T22" s="570">
        <f>SUM(PrgPrcnDn2TmCk)/[1]Planning!S21</f>
        <v>0.93018933858567887</v>
      </c>
      <c r="U22" s="569"/>
      <c r="V22" s="570">
        <f>SUM(PrgPrcnDn3ComTst)/[1]Planning!T21</f>
        <v>1</v>
      </c>
      <c r="W22" s="569"/>
      <c r="X22" s="570">
        <f>SUM(PrgPrcnDn4BkTrns)/[1]Planning!U21</f>
        <v>1</v>
      </c>
      <c r="Y22" s="569"/>
      <c r="Z22" s="570">
        <f>SUM(PrgPrcnDn5ConsCk)/[1]Planning!V21</f>
        <v>1</v>
      </c>
      <c r="AA22" s="569"/>
      <c r="AB22" s="570">
        <f>SUM(PrgPrcnDn6Pblshd)/[1]Planning!W21</f>
        <v>0.42823559311265008</v>
      </c>
      <c r="AC22" s="580"/>
      <c r="AD22" s="2"/>
      <c r="AE22" s="28">
        <v>3</v>
      </c>
      <c r="AF22" s="23" t="s">
        <v>24</v>
      </c>
      <c r="AG22" s="258">
        <f>Year3</f>
        <v>2019</v>
      </c>
      <c r="AH22" s="24" t="e">
        <f t="shared" ref="AH22" si="16">IF(AR22="","",IF($AR$18=1,AR22,AR22*VE))</f>
        <v>#REF!</v>
      </c>
      <c r="AI22" s="24" t="e">
        <f t="shared" ref="AI22" si="17">IF(AS22="","",IF($AR$18=1,AS22,AS22*VE))</f>
        <v>#REF!</v>
      </c>
      <c r="AJ22" s="24" t="e">
        <f t="shared" ref="AJ22" si="18">IF(AT22="","",IF($AR$18=1,AT22,AT22*VE))</f>
        <v>#REF!</v>
      </c>
      <c r="AK22" s="24" t="e">
        <f t="shared" ref="AK22" si="19">IF(AU22="","",IF($AR$18=1,AU22,AU22*VE))</f>
        <v>#REF!</v>
      </c>
      <c r="AL22" s="29" t="e">
        <f>IF([1]Planning!AG21=0,"",IF($AR$18=1,IF(AG22&lt;RptYr,[1]Planning!AG21,IF(AG22=RptYr,VLOOKUP((RptYr),YearAndPrcntPlanned,28)*RIGHT(RptQtr)*0.25,[1]Planning!AG21)),IF(AG22&lt;RptYr,[1]Planning!AG21*VE,IF(AG22=RptYr,VLOOKUP((RptYr),YearAndPrcntPlanned,28)*RIGHT(RptQtr)*0.25*VE,[1]Planning!AG21*VE))))</f>
        <v>#REF!</v>
      </c>
      <c r="AM22" s="30" t="e">
        <f t="shared" ref="AM22" si="20">IF($AR$18=1,IF(AG22&lt;=RptYr,SUM(AR22:AU22),""),IF(AG22&lt;=RptYr,SUM(AR22:AU22)*VE,""))</f>
        <v>#REF!</v>
      </c>
      <c r="AN22" s="31" t="e">
        <f t="shared" ref="AN22" si="21">IF(AG22&lt;=RptYr,(AN21+IF(AL22="",0,AL22)),"")</f>
        <v>#REF!</v>
      </c>
      <c r="AO22" s="32" t="e">
        <f t="shared" ref="AO22" si="22">IF(AG22&lt;=RptYr,(AM22+AO21),"")</f>
        <v>#REF!</v>
      </c>
      <c r="AP22" s="33" t="e">
        <f t="shared" ref="AP22" si="23">IF(AG22&lt;=RptYr,(AO22-AN22),"")</f>
        <v>#REF!</v>
      </c>
      <c r="AR22" s="24" t="e">
        <f t="array" ref="AR22">IF(LEN($AG22)&lt;4,"",IF(RptYr*4+RIGHT(RptQtr,1)&gt;=$AG22*4+RIGHT(AH$18,1),SUM((ProgYearDone=$AG22)*(ProgQuarter=AH$18)*ProgPrcntDone)+IF(AND(RptYr=$AG22,RptQtr=AH$18),[1]Calculations!$O$419),""))</f>
        <v>#REF!</v>
      </c>
      <c r="AS22" s="24" t="e">
        <f t="array" ref="AS22">IF(LEN($AG22)&lt;4,"",IF(RptYr*4+RIGHT(RptQtr,1)&gt;=$AG22*4+RIGHT(AI$18,1),SUM((ProgYearDone=$AG22)*(ProgQuarter=AI$18)*ProgPrcntDone)+IF(AND(RptYr=$AG22,RptQtr=AI$18),[1]Calculations!$O$419),""))</f>
        <v>#REF!</v>
      </c>
      <c r="AT22" s="24" t="e">
        <f t="array" ref="AT22">IF(LEN($AG22)&lt;4,"",IF(RptYr*4+RIGHT(RptQtr,1)&gt;=$AG22*4+RIGHT(AJ$18,1),SUM((ProgYearDone=$AG22)*(ProgQuarter=AJ$18)*ProgPrcntDone)+IF(AND(RptYr=$AG22,RptQtr=AJ$18),[1]Calculations!$O$419),""))</f>
        <v>#REF!</v>
      </c>
      <c r="AU22" s="24" t="e">
        <f t="array" ref="AU22">IF(LEN($AG22)&lt;4,"",IF(RptYr*4+RIGHT(RptQtr,1)&gt;=$AG22*4+RIGHT(AK$18,1),SUM((ProgYearDone=$AG22)*(ProgQuarter=AK$18)*ProgPrcntDone)+IF(AND(RptYr=$AG22,RptQtr=AK$18),[1]Calculations!$O$419),""))</f>
        <v>#REF!</v>
      </c>
      <c r="AV22" s="34" t="s">
        <v>26</v>
      </c>
      <c r="AW22" s="35" t="s">
        <v>25</v>
      </c>
      <c r="AX22" s="34" t="s">
        <v>26</v>
      </c>
      <c r="AY22" s="35" t="s">
        <v>25</v>
      </c>
      <c r="AZ22" s="34" t="s">
        <v>26</v>
      </c>
      <c r="BA22" s="35" t="s">
        <v>25</v>
      </c>
      <c r="BB22" s="34" t="s">
        <v>26</v>
      </c>
      <c r="BC22" s="35" t="s">
        <v>25</v>
      </c>
      <c r="BD22" s="34" t="s">
        <v>26</v>
      </c>
      <c r="BE22" s="35" t="s">
        <v>25</v>
      </c>
      <c r="BF22" s="34" t="s">
        <v>26</v>
      </c>
      <c r="BG22" s="36" t="s">
        <v>25</v>
      </c>
      <c r="BH22" s="37">
        <f>IF(BH21&lt;0.25,2,IF(BH21&lt;0.5,3,IF(BH21&lt;0.75,4,1)))*1</f>
        <v>1</v>
      </c>
      <c r="BI22" s="583"/>
      <c r="BJ22" s="586"/>
      <c r="BK22" s="539"/>
      <c r="BL22" s="541"/>
      <c r="BM22" s="542"/>
      <c r="BN22" s="541"/>
      <c r="BO22" s="256"/>
      <c r="BP22" s="256"/>
      <c r="BQ22" s="256"/>
      <c r="BR22" s="256"/>
      <c r="BS22" s="256"/>
      <c r="BT22" s="256"/>
      <c r="BU22" s="256"/>
      <c r="BV22" s="256"/>
      <c r="BW22" s="256"/>
      <c r="BX22" s="256"/>
      <c r="BY22" s="256"/>
      <c r="BZ22" s="256"/>
      <c r="CA22" s="530"/>
      <c r="CB22" s="530"/>
      <c r="CC22" s="548"/>
      <c r="CD22" s="533" t="s">
        <v>47</v>
      </c>
      <c r="CE22" s="533"/>
      <c r="CF22" s="533"/>
      <c r="CG22" s="545" t="s">
        <v>48</v>
      </c>
      <c r="CH22" s="545" t="s">
        <v>48</v>
      </c>
      <c r="CI22" s="545"/>
      <c r="CJ22" s="530" t="s">
        <v>34</v>
      </c>
      <c r="CK22" s="533" t="s">
        <v>35</v>
      </c>
      <c r="CL22" s="533" t="s">
        <v>49</v>
      </c>
      <c r="CM22" s="545" t="s">
        <v>49</v>
      </c>
      <c r="CN22" s="530"/>
      <c r="CO22" s="533"/>
      <c r="CP22" s="530"/>
      <c r="CQ22" s="533"/>
      <c r="CR22" s="530"/>
      <c r="CS22" s="545"/>
      <c r="CT22" s="567" t="s">
        <v>27</v>
      </c>
      <c r="CU22" s="560" t="s">
        <v>28</v>
      </c>
      <c r="CV22" s="561" t="s">
        <v>12</v>
      </c>
      <c r="CW22" s="564" t="s">
        <v>49</v>
      </c>
      <c r="CX22" s="564" t="s">
        <v>49</v>
      </c>
    </row>
    <row r="23" spans="16:102" ht="13.5" customHeight="1" thickBot="1" x14ac:dyDescent="0.25">
      <c r="P23" s="38">
        <f>Planning!N23</f>
        <v>0</v>
      </c>
      <c r="Q23" s="39" t="str">
        <f>[1]Planning!Q23</f>
        <v/>
      </c>
      <c r="R23" s="40"/>
      <c r="S23" s="260"/>
      <c r="T23" s="40"/>
      <c r="U23" s="260"/>
      <c r="V23" s="40"/>
      <c r="W23" s="260"/>
      <c r="X23" s="40"/>
      <c r="Y23" s="260"/>
      <c r="Z23" s="40"/>
      <c r="AA23" s="260"/>
      <c r="AB23" s="40"/>
      <c r="AC23" s="260"/>
      <c r="AD23" s="2"/>
      <c r="AE23" s="28">
        <v>4</v>
      </c>
      <c r="AF23" s="23" t="s">
        <v>24</v>
      </c>
      <c r="AG23" s="258">
        <f>Year4</f>
        <v>2020</v>
      </c>
      <c r="AH23" s="24" t="e">
        <f t="shared" ref="AH23" si="24">IF(AR23="","",IF($AR$18=1,AR23,AR23*VE))</f>
        <v>#REF!</v>
      </c>
      <c r="AI23" s="24" t="e">
        <f t="shared" ref="AI23" si="25">IF(AS23="","",IF($AR$18=1,AS23,AS23*VE))</f>
        <v>#REF!</v>
      </c>
      <c r="AJ23" s="24" t="e">
        <f t="shared" ref="AJ23" si="26">IF(AT23="","",IF($AR$18=1,AT23,AT23*VE))</f>
        <v>#REF!</v>
      </c>
      <c r="AK23" s="24" t="e">
        <f t="shared" ref="AK23" si="27">IF(AU23="","",IF($AR$18=1,AU23,AU23*VE))</f>
        <v>#REF!</v>
      </c>
      <c r="AL23" s="29" t="str">
        <f>IF([1]Planning!AG22=0,"",IF($AR$18=1,IF(AG23&lt;RptYr,[1]Planning!AG22,IF(AG23=RptYr,VLOOKUP((RptYr),YearAndPrcntPlanned,28)*RIGHT(RptQtr)*0.25,[1]Planning!AG22)),IF(AG23&lt;RptYr,[1]Planning!AG22*VE,IF(AG23=RptYr,VLOOKUP((RptYr),YearAndPrcntPlanned,28)*RIGHT(RptQtr)*0.25*VE,[1]Planning!AG22*VE))))</f>
        <v/>
      </c>
      <c r="AM23" s="30" t="e">
        <f t="shared" ref="AM23" si="28">IF($AR$18=1,IF(AG23&lt;=RptYr,SUM(AR23:AU23),""),IF(AG23&lt;=RptYr,SUM(AR23:AU23)*VE,""))</f>
        <v>#REF!</v>
      </c>
      <c r="AN23" s="31" t="e">
        <f t="shared" ref="AN23" si="29">IF(AG23&lt;=RptYr,(AN22+IF(AL23="",0,AL23)),"")</f>
        <v>#REF!</v>
      </c>
      <c r="AO23" s="32" t="e">
        <f t="shared" ref="AO23" si="30">IF(AG23&lt;=RptYr,(AM23+AO22),"")</f>
        <v>#REF!</v>
      </c>
      <c r="AP23" s="33" t="e">
        <f t="shared" ref="AP23" si="31">IF(AG23&lt;=RptYr,(AO23-AN23),"")</f>
        <v>#REF!</v>
      </c>
      <c r="AQ23" s="261"/>
      <c r="AR23" s="24" t="e">
        <f t="array" ref="AR23">IF(LEN($AG23)&lt;4,"",IF(RptYr*4+RIGHT(RptQtr,1)&gt;=$AG23*4+RIGHT(AH$18,1),SUM((ProgYearDone=$AG23)*(ProgQuarter=AH$18)*ProgPrcntDone)+IF(AND(RptYr=$AG23,RptQtr=AH$18),[1]Calculations!$O$419),""))</f>
        <v>#REF!</v>
      </c>
      <c r="AS23" s="24" t="e">
        <f t="array" ref="AS23">IF(LEN($AG23)&lt;4,"",IF(RptYr*4+RIGHT(RptQtr,1)&gt;=$AG23*4+RIGHT(AI$18,1),SUM((ProgYearDone=$AG23)*(ProgQuarter=AI$18)*ProgPrcntDone)+IF(AND(RptYr=$AG23,RptQtr=AI$18),[1]Calculations!$O$419),""))</f>
        <v>#REF!</v>
      </c>
      <c r="AT23" s="24" t="e">
        <f t="array" ref="AT23">IF(LEN($AG23)&lt;4,"",IF(RptYr*4+RIGHT(RptQtr,1)&gt;=$AG23*4+RIGHT(AJ$18,1),SUM((ProgYearDone=$AG23)*(ProgQuarter=AJ$18)*ProgPrcntDone)+IF(AND(RptYr=$AG23,RptQtr=AJ$18),[1]Calculations!$O$419),""))</f>
        <v>#REF!</v>
      </c>
      <c r="AU23" s="24" t="e">
        <f t="array" ref="AU23">IF(LEN($AG23)&lt;4,"",IF(RptYr*4+RIGHT(RptQtr,1)&gt;=$AG23*4+RIGHT(AK$18,1),SUM((ProgYearDone=$AG23)*(ProgQuarter=AK$18)*ProgPrcntDone)+IF(AND(RptYr=$AG23,RptQtr=AK$18),[1]Calculations!$O$419),""))</f>
        <v>#REF!</v>
      </c>
      <c r="AV23" s="41">
        <f>[1]Planning!R23</f>
        <v>0</v>
      </c>
      <c r="AW23" s="42">
        <f>[1]Planning!R23</f>
        <v>0</v>
      </c>
      <c r="AX23" s="41">
        <f>[1]Planning!S23</f>
        <v>0</v>
      </c>
      <c r="AY23" s="42">
        <f>[1]Planning!S23</f>
        <v>0</v>
      </c>
      <c r="AZ23" s="41">
        <f>[1]Planning!T23</f>
        <v>0</v>
      </c>
      <c r="BA23" s="42">
        <f>[1]Planning!T23</f>
        <v>0</v>
      </c>
      <c r="BB23" s="41">
        <f>[1]Planning!U23</f>
        <v>0</v>
      </c>
      <c r="BC23" s="42">
        <f>[1]Planning!U23</f>
        <v>0</v>
      </c>
      <c r="BD23" s="41">
        <f>[1]Planning!V23</f>
        <v>0</v>
      </c>
      <c r="BE23" s="42">
        <f>[1]Planning!V23</f>
        <v>0</v>
      </c>
      <c r="BF23" s="41">
        <f>[1]Planning!W23</f>
        <v>0</v>
      </c>
      <c r="BG23" s="43">
        <f>[1]Planning!W23</f>
        <v>0</v>
      </c>
      <c r="BH23" s="262">
        <f>IF(BH22=1,((BH20+1)&amp;BH22)*1,(BH20&amp;BH22)*1)</f>
        <v>20171</v>
      </c>
      <c r="BI23" s="263"/>
      <c r="BJ23" s="264"/>
      <c r="BK23" s="265">
        <f>IF($AR$18=1,[1]Planning!AG$18,[1]Planning!AG$18*VE)</f>
        <v>1113.6999999999998</v>
      </c>
      <c r="BL23" s="266">
        <f>BK23</f>
        <v>1113.6999999999998</v>
      </c>
      <c r="BM23" s="266">
        <f>AM$19</f>
        <v>1113.6999999999998</v>
      </c>
      <c r="BN23" s="267">
        <f>BM23</f>
        <v>1113.6999999999998</v>
      </c>
      <c r="BO23" s="256"/>
      <c r="BP23" s="256"/>
      <c r="BQ23" s="256"/>
      <c r="BR23" s="256"/>
      <c r="BS23" s="256"/>
      <c r="BT23" s="256"/>
      <c r="BU23" s="256"/>
      <c r="BV23" s="256"/>
      <c r="BW23" s="256"/>
      <c r="BX23" s="256"/>
      <c r="BY23" s="256"/>
      <c r="BZ23" s="256"/>
      <c r="CA23" s="44" t="str">
        <f>[1]Planning!$N$13</f>
        <v>Samuk</v>
      </c>
      <c r="CB23" s="268">
        <f>[1]Planning!W11</f>
        <v>41516</v>
      </c>
      <c r="CC23" s="45">
        <f>[1]Planning!N14</f>
        <v>0</v>
      </c>
      <c r="CD23" s="46">
        <f>[1]Planning!$W$13</f>
        <v>42644</v>
      </c>
      <c r="CE23" s="46">
        <f>[1]Planning!W14</f>
        <v>42644</v>
      </c>
      <c r="CF23" s="46">
        <f>[1]Planning!W15</f>
        <v>43738</v>
      </c>
      <c r="CG23" s="46">
        <f>[1]Progress!$AF$40</f>
        <v>43703.224999999999</v>
      </c>
      <c r="CH23" s="46">
        <f>[1]Progress!$AF$41</f>
        <v>43907.927842677323</v>
      </c>
      <c r="CI23" s="47">
        <f>IF([1]Planning!L39&gt;1,[1]Planning!L39/VE,[1]Planning!L39)</f>
        <v>0.97207573543427139</v>
      </c>
      <c r="CJ23" s="48" t="e">
        <f>RptQtr</f>
        <v>#REF!</v>
      </c>
      <c r="CK23" s="49" t="e">
        <f>RptYr</f>
        <v>#REF!</v>
      </c>
      <c r="CL23" s="50" t="e">
        <f ca="1">IF(AR18=1,OFFSET(BH27,MATCH(BH24,BH27:BH106,0)-1,5,1,),OFFSET(BH27,MATCH(BH24,BH27:BH106,0)-1,5,1,)/VE)</f>
        <v>#REF!</v>
      </c>
      <c r="CM23" s="51" t="e">
        <f ca="1">CL23*VE</f>
        <v>#REF!</v>
      </c>
      <c r="CN23" s="52" t="e">
        <f ca="1">IF(AR18=1,SUM(OFFSET(BH27,MATCH(BH24,BH27:BH106,0)-4,5,4,)),SUM(OFFSET(BH27,MATCH(BH24,BH27:BH106,0)-4,5,4,))/VE)</f>
        <v>#REF!</v>
      </c>
      <c r="CO23" s="51" t="e">
        <f ca="1">CN23*VE</f>
        <v>#REF!</v>
      </c>
      <c r="CP23" s="52" t="e">
        <f ca="1">IF(AR18=1,SUM(OFFSET(BH27,MATCH(BH24,BH27:BH106,0)-8,5,8,)),SUM(OFFSET(BH27,MATCH(BH24,BH27:BH106,0)-8,5,8,))/VE)</f>
        <v>#REF!</v>
      </c>
      <c r="CQ23" s="51" t="e">
        <f ca="1">CP23*VE</f>
        <v>#REF!</v>
      </c>
      <c r="CR23" s="50" t="e">
        <f ca="1">IF(AR18=1,SUM(OFFSET(BH27,MATCH(BH24,BH27:BH106,0)-12,5,12,)),SUM(OFFSET(BH27,MATCH(BH24,BH27:BH106,0)-12,5,12,))/VE)</f>
        <v>#REF!</v>
      </c>
      <c r="CS23" s="51" t="e">
        <f ca="1">CR23*VE</f>
        <v>#REF!</v>
      </c>
      <c r="CT23" s="52" t="e">
        <f ca="1">IF(AR18=1,OFFSET(BH27,MATCH(BH24,BH27:BH106,0)-1,4,,),OFFSET(BH27,MATCH(BH24,BH27:BH106,0)-1,4,,)/VE)</f>
        <v>#REF!</v>
      </c>
      <c r="CU23" s="53">
        <f>[1]Progress!AS18</f>
        <v>0.93584249316983281</v>
      </c>
      <c r="CV23" s="54" t="e">
        <f ca="1">CU23-CT23</f>
        <v>#REF!</v>
      </c>
      <c r="CW23" s="55" t="e">
        <f ca="1">CT23*VE</f>
        <v>#REF!</v>
      </c>
      <c r="CX23" s="51" t="e">
        <f>AS18*VE</f>
        <v>#REF!</v>
      </c>
    </row>
    <row r="24" spans="16:102" ht="12.75" customHeight="1" x14ac:dyDescent="0.25">
      <c r="P24" s="38">
        <f>Planning!N24</f>
        <v>0</v>
      </c>
      <c r="Q24" s="39" t="str">
        <f>[1]Planning!Q24</f>
        <v/>
      </c>
      <c r="R24" s="40"/>
      <c r="S24" s="260"/>
      <c r="T24" s="40"/>
      <c r="U24" s="260"/>
      <c r="V24" s="40"/>
      <c r="W24" s="260"/>
      <c r="X24" s="40"/>
      <c r="Y24" s="260"/>
      <c r="Z24" s="40"/>
      <c r="AA24" s="260"/>
      <c r="AB24" s="40"/>
      <c r="AC24" s="260"/>
      <c r="AD24" s="269"/>
      <c r="AE24" s="28">
        <v>5</v>
      </c>
      <c r="AF24" s="23" t="s">
        <v>24</v>
      </c>
      <c r="AG24" s="258">
        <f>Year5</f>
        <v>2021</v>
      </c>
      <c r="AH24" s="24" t="e">
        <f t="shared" ref="AH24" si="32">IF(AR24="","",IF($AR$18=1,AR24,AR24*VE))</f>
        <v>#REF!</v>
      </c>
      <c r="AI24" s="24" t="e">
        <f t="shared" ref="AI24" si="33">IF(AS24="","",IF($AR$18=1,AS24,AS24*VE))</f>
        <v>#REF!</v>
      </c>
      <c r="AJ24" s="24" t="e">
        <f t="shared" ref="AJ24" si="34">IF(AT24="","",IF($AR$18=1,AT24,AT24*VE))</f>
        <v>#REF!</v>
      </c>
      <c r="AK24" s="24" t="e">
        <f t="shared" ref="AK24" si="35">IF(AU24="","",IF($AR$18=1,AU24,AU24*VE))</f>
        <v>#REF!</v>
      </c>
      <c r="AL24" s="29" t="str">
        <f>IF([1]Planning!AG23=0,"",IF($AR$18=1,IF(AG24&lt;RptYr,[1]Planning!AG23,IF(AG24=RptYr,VLOOKUP((RptYr),YearAndPrcntPlanned,28)*RIGHT(RptQtr)*0.25,[1]Planning!AG23)),IF(AG24&lt;RptYr,[1]Planning!AG23*VE,IF(AG24=RptYr,VLOOKUP((RptYr),YearAndPrcntPlanned,28)*RIGHT(RptQtr)*0.25*VE,[1]Planning!AG23*VE))))</f>
        <v/>
      </c>
      <c r="AM24" s="30" t="e">
        <f t="shared" ref="AM24" si="36">IF($AR$18=1,IF(AG24&lt;=RptYr,SUM(AR24:AU24),""),IF(AG24&lt;=RptYr,SUM(AR24:AU24)*VE,""))</f>
        <v>#REF!</v>
      </c>
      <c r="AN24" s="31" t="e">
        <f t="shared" ref="AN24" si="37">IF(AG24&lt;=RptYr,(AN23+IF(AL24="",0,AL24)),"")</f>
        <v>#REF!</v>
      </c>
      <c r="AO24" s="32" t="e">
        <f t="shared" ref="AO24" si="38">IF(AG24&lt;=RptYr,(AM24+AO23),"")</f>
        <v>#REF!</v>
      </c>
      <c r="AP24" s="33" t="e">
        <f t="shared" ref="AP24" si="39">IF(AG24&lt;=RptYr,(AO24-AN24),"")</f>
        <v>#REF!</v>
      </c>
      <c r="AR24" s="24" t="e">
        <f t="array" ref="AR24">IF(LEN($AG24)&lt;4,"",IF(RptYr*4+RIGHT(RptQtr,1)&gt;=$AG24*4+RIGHT(AH$18,1),SUM((ProgYearDone=$AG24)*(ProgQuarter=AH$18)*ProgPrcntDone)+IF(AND(RptYr=$AG24,RptQtr=AH$18),[1]Calculations!$O$419),""))</f>
        <v>#REF!</v>
      </c>
      <c r="AS24" s="24" t="e">
        <f t="array" ref="AS24">IF(LEN($AG24)&lt;4,"",IF(RptYr*4+RIGHT(RptQtr,1)&gt;=$AG24*4+RIGHT(AI$18,1),SUM((ProgYearDone=$AG24)*(ProgQuarter=AI$18)*ProgPrcntDone)+IF(AND(RptYr=$AG24,RptQtr=AI$18),[1]Calculations!$O$419),""))</f>
        <v>#REF!</v>
      </c>
      <c r="AT24" s="24" t="e">
        <f t="array" ref="AT24">IF(LEN($AG24)&lt;4,"",IF(RptYr*4+RIGHT(RptQtr,1)&gt;=$AG24*4+RIGHT(AJ$18,1),SUM((ProgYearDone=$AG24)*(ProgQuarter=AJ$18)*ProgPrcntDone)+IF(AND(RptYr=$AG24,RptQtr=AJ$18),[1]Calculations!$O$419),""))</f>
        <v>#REF!</v>
      </c>
      <c r="AU24" s="24" t="e">
        <f t="array" ref="AU24">IF(LEN($AG24)&lt;4,"",IF(RptYr*4+RIGHT(RptQtr,1)&gt;=$AG24*4+RIGHT(AK$18,1),SUM((ProgYearDone=$AG24)*(ProgQuarter=AK$18)*ProgPrcntDone)+IF(AND(RptYr=$AG24,RptQtr=AK$18),[1]Calculations!$O$419),""))</f>
        <v>#REF!</v>
      </c>
      <c r="AV24" s="41">
        <f>[1]Planning!R24</f>
        <v>0</v>
      </c>
      <c r="AW24" s="42">
        <f>[1]Planning!R24</f>
        <v>0</v>
      </c>
      <c r="AX24" s="41">
        <f>[1]Planning!S24</f>
        <v>0</v>
      </c>
      <c r="AY24" s="42">
        <f>[1]Planning!S24</f>
        <v>0</v>
      </c>
      <c r="AZ24" s="41">
        <f>[1]Planning!T24</f>
        <v>0</v>
      </c>
      <c r="BA24" s="42">
        <f>[1]Planning!T24</f>
        <v>0</v>
      </c>
      <c r="BB24" s="41">
        <f>[1]Planning!U24</f>
        <v>0</v>
      </c>
      <c r="BC24" s="42">
        <f>[1]Planning!U24</f>
        <v>0</v>
      </c>
      <c r="BD24" s="41">
        <f>[1]Planning!V24</f>
        <v>0</v>
      </c>
      <c r="BE24" s="42">
        <f>[1]Planning!V24</f>
        <v>0</v>
      </c>
      <c r="BF24" s="41">
        <f>[1]Planning!W24</f>
        <v>0</v>
      </c>
      <c r="BG24" s="43">
        <f>[1]Planning!W24</f>
        <v>0</v>
      </c>
      <c r="BH24" s="270" t="e">
        <f>(RptYr&amp;RIGHT(RptQtr,1))*1</f>
        <v>#REF!</v>
      </c>
      <c r="BI24" s="271" t="str">
        <f>"&lt;"&amp;BI28</f>
        <v>&lt;2017</v>
      </c>
      <c r="BJ24" s="264"/>
      <c r="BK24" s="265">
        <f>IF($AR$18=1,[1]Planning!AG$18,[1]Planning!AG$18*VE)</f>
        <v>1113.6999999999998</v>
      </c>
      <c r="BL24" s="272">
        <f>BK24</f>
        <v>1113.6999999999998</v>
      </c>
      <c r="BM24" s="272">
        <f>AM$19</f>
        <v>1113.6999999999998</v>
      </c>
      <c r="BN24" s="273">
        <f>BM24</f>
        <v>1113.6999999999998</v>
      </c>
      <c r="BO24" s="256"/>
      <c r="BP24" s="256"/>
      <c r="BQ24" s="256"/>
      <c r="BR24" s="256"/>
      <c r="BS24" s="256"/>
      <c r="BT24" s="256"/>
      <c r="BU24" s="256"/>
      <c r="BV24" s="256"/>
      <c r="BW24" s="256"/>
      <c r="BX24" s="256"/>
      <c r="BY24" s="256"/>
      <c r="BZ24" s="256"/>
      <c r="CA24" s="274"/>
      <c r="CB24" s="256"/>
      <c r="CC24" s="256"/>
      <c r="CK24" s="275"/>
    </row>
    <row r="25" spans="16:102" ht="12.75" customHeight="1" x14ac:dyDescent="0.25">
      <c r="P25" s="38">
        <f>Planning!N25</f>
        <v>0</v>
      </c>
      <c r="Q25" s="39" t="str">
        <f>[1]Planning!Q25</f>
        <v/>
      </c>
      <c r="R25" s="40"/>
      <c r="S25" s="260"/>
      <c r="T25" s="40"/>
      <c r="U25" s="260"/>
      <c r="V25" s="40"/>
      <c r="W25" s="260"/>
      <c r="X25" s="40"/>
      <c r="Y25" s="260"/>
      <c r="Z25" s="40"/>
      <c r="AA25" s="260"/>
      <c r="AB25" s="40"/>
      <c r="AC25" s="260"/>
      <c r="AD25" s="269"/>
      <c r="AE25" s="28">
        <v>6</v>
      </c>
      <c r="AF25" s="23" t="s">
        <v>24</v>
      </c>
      <c r="AG25" s="258">
        <f>Year6</f>
        <v>2022</v>
      </c>
      <c r="AH25" s="24" t="e">
        <f t="shared" ref="AH25" si="40">IF(AR25="","",IF($AR$18=1,AR25,AR25*VE))</f>
        <v>#REF!</v>
      </c>
      <c r="AI25" s="24" t="e">
        <f t="shared" ref="AI25" si="41">IF(AS25="","",IF($AR$18=1,AS25,AS25*VE))</f>
        <v>#REF!</v>
      </c>
      <c r="AJ25" s="24" t="e">
        <f t="shared" ref="AJ25" si="42">IF(AT25="","",IF($AR$18=1,AT25,AT25*VE))</f>
        <v>#REF!</v>
      </c>
      <c r="AK25" s="24" t="e">
        <f t="shared" ref="AK25" si="43">IF(AU25="","",IF($AR$18=1,AU25,AU25*VE))</f>
        <v>#REF!</v>
      </c>
      <c r="AL25" s="29" t="str">
        <f>IF([1]Planning!AG24=0,"",IF($AR$18=1,IF(AG25&lt;RptYr,[1]Planning!AG24,IF(AG25=RptYr,VLOOKUP((RptYr),YearAndPrcntPlanned,28)*RIGHT(RptQtr)*0.25,[1]Planning!AG24)),IF(AG25&lt;RptYr,[1]Planning!AG24*VE,IF(AG25=RptYr,VLOOKUP((RptYr),YearAndPrcntPlanned,28)*RIGHT(RptQtr)*0.25*VE,[1]Planning!AG24*VE))))</f>
        <v/>
      </c>
      <c r="AM25" s="30" t="e">
        <f t="shared" ref="AM25" si="44">IF($AR$18=1,IF(AG25&lt;=RptYr,SUM(AR25:AU25),""),IF(AG25&lt;=RptYr,SUM(AR25:AU25)*VE,""))</f>
        <v>#REF!</v>
      </c>
      <c r="AN25" s="31" t="e">
        <f t="shared" ref="AN25" si="45">IF(AG25&lt;=RptYr,(AN24+IF(AL25="",0,AL25)),"")</f>
        <v>#REF!</v>
      </c>
      <c r="AO25" s="32" t="e">
        <f t="shared" ref="AO25" si="46">IF(AG25&lt;=RptYr,(AM25+AO24),"")</f>
        <v>#REF!</v>
      </c>
      <c r="AP25" s="33" t="e">
        <f t="shared" ref="AP25" si="47">IF(AG25&lt;=RptYr,(AO25-AN25),"")</f>
        <v>#REF!</v>
      </c>
      <c r="AR25" s="24" t="e">
        <f t="array" ref="AR25">IF(LEN($AG25)&lt;4,"",IF(RptYr*4+RIGHT(RptQtr,1)&gt;=$AG25*4+RIGHT(AH$18,1),SUM((ProgYearDone=$AG25)*(ProgQuarter=AH$18)*ProgPrcntDone)+IF(AND(RptYr=$AG25,RptQtr=AH$18),[1]Calculations!$O$419),""))</f>
        <v>#REF!</v>
      </c>
      <c r="AS25" s="24" t="e">
        <f t="array" ref="AS25">IF(LEN($AG25)&lt;4,"",IF(RptYr*4+RIGHT(RptQtr,1)&gt;=$AG25*4+RIGHT(AI$18,1),SUM((ProgYearDone=$AG25)*(ProgQuarter=AI$18)*ProgPrcntDone)+IF(AND(RptYr=$AG25,RptQtr=AI$18),[1]Calculations!$O$419),""))</f>
        <v>#REF!</v>
      </c>
      <c r="AT25" s="24" t="e">
        <f t="array" ref="AT25">IF(LEN($AG25)&lt;4,"",IF(RptYr*4+RIGHT(RptQtr,1)&gt;=$AG25*4+RIGHT(AJ$18,1),SUM((ProgYearDone=$AG25)*(ProgQuarter=AJ$18)*ProgPrcntDone)+IF(AND(RptYr=$AG25,RptQtr=AJ$18),[1]Calculations!$O$419),""))</f>
        <v>#REF!</v>
      </c>
      <c r="AU25" s="24" t="e">
        <f t="array" ref="AU25">IF(LEN($AG25)&lt;4,"",IF(RptYr*4+RIGHT(RptQtr,1)&gt;=$AG25*4+RIGHT(AK$18,1),SUM((ProgYearDone=$AG25)*(ProgQuarter=AK$18)*ProgPrcntDone)+IF(AND(RptYr=$AG25,RptQtr=AK$18),[1]Calculations!$O$419),""))</f>
        <v>#REF!</v>
      </c>
      <c r="AV25" s="41">
        <f>[1]Planning!R25</f>
        <v>0</v>
      </c>
      <c r="AW25" s="42">
        <f>[1]Planning!R25</f>
        <v>0</v>
      </c>
      <c r="AX25" s="41">
        <f>[1]Planning!S25</f>
        <v>0</v>
      </c>
      <c r="AY25" s="42">
        <f>[1]Planning!S25</f>
        <v>0</v>
      </c>
      <c r="AZ25" s="41">
        <f>[1]Planning!T25</f>
        <v>0</v>
      </c>
      <c r="BA25" s="42">
        <f>[1]Planning!T25</f>
        <v>0</v>
      </c>
      <c r="BB25" s="41">
        <f>[1]Planning!U25</f>
        <v>0</v>
      </c>
      <c r="BC25" s="42">
        <f>[1]Planning!U25</f>
        <v>0</v>
      </c>
      <c r="BD25" s="41">
        <f>[1]Planning!V25</f>
        <v>0</v>
      </c>
      <c r="BE25" s="42">
        <f>[1]Planning!V25</f>
        <v>0</v>
      </c>
      <c r="BF25" s="41">
        <f>[1]Planning!W25</f>
        <v>0</v>
      </c>
      <c r="BG25" s="43">
        <f>[1]Planning!W25</f>
        <v>0</v>
      </c>
      <c r="BH25" s="270" t="e">
        <f>(LEFT(BH24,4)*4+RIGHT(BH24,1))-(LEFT(BH23,4)*4+RIGHT(BH23,1))+1</f>
        <v>#REF!</v>
      </c>
      <c r="BI25" s="263"/>
      <c r="BJ25" s="264"/>
      <c r="BK25" s="265">
        <f>IF($AR$18=1,[1]Planning!AG$18,[1]Planning!AG$18*VE)</f>
        <v>1113.6999999999998</v>
      </c>
      <c r="BL25" s="272">
        <f>BK25</f>
        <v>1113.6999999999998</v>
      </c>
      <c r="BM25" s="272">
        <f>AM$19</f>
        <v>1113.6999999999998</v>
      </c>
      <c r="BN25" s="273">
        <f>BM25</f>
        <v>1113.6999999999998</v>
      </c>
      <c r="BO25" s="256"/>
      <c r="BP25" s="256"/>
      <c r="BQ25" s="256"/>
      <c r="BR25" s="256"/>
      <c r="BS25" s="256"/>
      <c r="BT25" s="256"/>
      <c r="BU25" s="256"/>
      <c r="BV25" s="256"/>
      <c r="BW25" s="256"/>
      <c r="BX25" s="256"/>
      <c r="BY25" s="256"/>
      <c r="BZ25" s="256"/>
      <c r="CA25" s="274"/>
      <c r="CB25" s="256"/>
      <c r="CC25" s="256"/>
    </row>
    <row r="26" spans="16:102" ht="12.75" customHeight="1" thickBot="1" x14ac:dyDescent="0.25">
      <c r="P26" s="38">
        <f>Planning!N26</f>
        <v>0</v>
      </c>
      <c r="Q26" s="39" t="str">
        <f>[1]Planning!Q26</f>
        <v/>
      </c>
      <c r="R26" s="40"/>
      <c r="S26" s="260"/>
      <c r="T26" s="40"/>
      <c r="U26" s="260"/>
      <c r="V26" s="40"/>
      <c r="W26" s="260"/>
      <c r="X26" s="40"/>
      <c r="Y26" s="260"/>
      <c r="Z26" s="40"/>
      <c r="AA26" s="260"/>
      <c r="AB26" s="40"/>
      <c r="AC26" s="260"/>
      <c r="AD26" s="269"/>
      <c r="AE26" s="28">
        <v>7</v>
      </c>
      <c r="AF26" s="23" t="s">
        <v>24</v>
      </c>
      <c r="AG26" s="258">
        <f>Year7</f>
        <v>2023</v>
      </c>
      <c r="AH26" s="24" t="e">
        <f t="shared" ref="AH26" si="48">IF(AR26="","",IF($AR$18=1,AR26,AR26*VE))</f>
        <v>#REF!</v>
      </c>
      <c r="AI26" s="24" t="e">
        <f t="shared" ref="AI26" si="49">IF(AS26="","",IF($AR$18=1,AS26,AS26*VE))</f>
        <v>#REF!</v>
      </c>
      <c r="AJ26" s="24" t="e">
        <f t="shared" ref="AJ26" si="50">IF(AT26="","",IF($AR$18=1,AT26,AT26*VE))</f>
        <v>#REF!</v>
      </c>
      <c r="AK26" s="24" t="e">
        <f t="shared" ref="AK26" si="51">IF(AU26="","",IF($AR$18=1,AU26,AU26*VE))</f>
        <v>#REF!</v>
      </c>
      <c r="AL26" s="29" t="str">
        <f>IF([1]Planning!AG25=0,"",IF($AR$18=1,IF(AG26&lt;RptYr,[1]Planning!AG25,IF(AG26=RptYr,VLOOKUP((RptYr),YearAndPrcntPlanned,28)*RIGHT(RptQtr)*0.25,[1]Planning!AG25)),IF(AG26&lt;RptYr,[1]Planning!AG25*VE,IF(AG26=RptYr,VLOOKUP((RptYr),YearAndPrcntPlanned,28)*RIGHT(RptQtr)*0.25*VE,[1]Planning!AG25*VE))))</f>
        <v/>
      </c>
      <c r="AM26" s="30" t="e">
        <f t="shared" ref="AM26" si="52">IF($AR$18=1,IF(AG26&lt;=RptYr,SUM(AR26:AU26),""),IF(AG26&lt;=RptYr,SUM(AR26:AU26)*VE,""))</f>
        <v>#REF!</v>
      </c>
      <c r="AN26" s="31" t="e">
        <f t="shared" ref="AN26" si="53">IF(AG26&lt;=RptYr,(AN25+IF(AL26="",0,AL26)),"")</f>
        <v>#REF!</v>
      </c>
      <c r="AO26" s="32" t="e">
        <f t="shared" ref="AO26" si="54">IF(AG26&lt;=RptYr,(AM26+AO25),"")</f>
        <v>#REF!</v>
      </c>
      <c r="AP26" s="33" t="e">
        <f t="shared" ref="AP26" si="55">IF(AG26&lt;=RptYr,(AO26-AN26),"")</f>
        <v>#REF!</v>
      </c>
      <c r="AQ26" s="276"/>
      <c r="AR26" s="24" t="e">
        <f t="array" ref="AR26">IF(LEN($AG26)&lt;4,"",IF(RptYr*4+RIGHT(RptQtr,1)&gt;=$AG26*4+RIGHT(AH$18,1),SUM((ProgYearDone=$AG26)*(ProgQuarter=AH$18)*ProgPrcntDone)+IF(AND(RptYr=$AG26,RptQtr=AH$18),[1]Calculations!$O$419),""))</f>
        <v>#REF!</v>
      </c>
      <c r="AS26" s="24" t="e">
        <f t="array" ref="AS26">IF(LEN($AG26)&lt;4,"",IF(RptYr*4+RIGHT(RptQtr,1)&gt;=$AG26*4+RIGHT(AI$18,1),SUM((ProgYearDone=$AG26)*(ProgQuarter=AI$18)*ProgPrcntDone)+IF(AND(RptYr=$AG26,RptQtr=AI$18),[1]Calculations!$O$419),""))</f>
        <v>#REF!</v>
      </c>
      <c r="AT26" s="24" t="e">
        <f t="array" ref="AT26">IF(LEN($AG26)&lt;4,"",IF(RptYr*4+RIGHT(RptQtr,1)&gt;=$AG26*4+RIGHT(AJ$18,1),SUM((ProgYearDone=$AG26)*(ProgQuarter=AJ$18)*ProgPrcntDone)+IF(AND(RptYr=$AG26,RptQtr=AJ$18),[1]Calculations!$O$419),""))</f>
        <v>#REF!</v>
      </c>
      <c r="AU26" s="24" t="e">
        <f t="array" ref="AU26">IF(LEN($AG26)&lt;4,"",IF(RptYr*4+RIGHT(RptQtr,1)&gt;=$AG26*4+RIGHT(AK$18,1),SUM((ProgYearDone=$AG26)*(ProgQuarter=AK$18)*ProgPrcntDone)+IF(AND(RptYr=$AG26,RptQtr=AK$18),[1]Calculations!$O$419),""))</f>
        <v>#REF!</v>
      </c>
      <c r="AV26" s="41">
        <f>[1]Planning!R26</f>
        <v>0</v>
      </c>
      <c r="AW26" s="42">
        <f>[1]Planning!R26</f>
        <v>0</v>
      </c>
      <c r="AX26" s="41">
        <f>[1]Planning!S26</f>
        <v>0</v>
      </c>
      <c r="AY26" s="42">
        <f>[1]Planning!S26</f>
        <v>0</v>
      </c>
      <c r="AZ26" s="41">
        <f>[1]Planning!T26</f>
        <v>0</v>
      </c>
      <c r="BA26" s="42">
        <f>[1]Planning!T26</f>
        <v>0</v>
      </c>
      <c r="BB26" s="41">
        <f>[1]Planning!U26</f>
        <v>0</v>
      </c>
      <c r="BC26" s="42">
        <f>[1]Planning!U26</f>
        <v>0</v>
      </c>
      <c r="BD26" s="41">
        <f>[1]Planning!V26</f>
        <v>0</v>
      </c>
      <c r="BE26" s="42">
        <f>[1]Planning!V26</f>
        <v>0</v>
      </c>
      <c r="BF26" s="41">
        <f>[1]Planning!W26</f>
        <v>0</v>
      </c>
      <c r="BG26" s="43">
        <f>[1]Planning!W26</f>
        <v>0</v>
      </c>
      <c r="BH26" s="277">
        <f>INT(BH23/10)</f>
        <v>2017</v>
      </c>
      <c r="BI26" s="278"/>
      <c r="BJ26" s="264"/>
      <c r="BK26" s="265">
        <f>IF($AR$18=1,[1]Planning!AG$18,[1]Planning!AG$18*VE)</f>
        <v>1113.6999999999998</v>
      </c>
      <c r="BL26" s="272">
        <f>BK26</f>
        <v>1113.6999999999998</v>
      </c>
      <c r="BM26" s="272">
        <f>AM$19</f>
        <v>1113.6999999999998</v>
      </c>
      <c r="BN26" s="273">
        <f>BM26</f>
        <v>1113.6999999999998</v>
      </c>
      <c r="BO26" s="256"/>
      <c r="BP26" s="256"/>
      <c r="BQ26" s="256"/>
      <c r="BR26" s="256"/>
      <c r="BS26" s="256"/>
      <c r="BT26" s="256"/>
      <c r="BU26" s="256"/>
      <c r="BV26" s="256"/>
      <c r="BW26" s="256"/>
      <c r="BX26" s="256"/>
      <c r="BY26" s="256"/>
      <c r="BZ26" s="256"/>
      <c r="CA26" s="256"/>
      <c r="CB26" s="256"/>
      <c r="CC26" s="256"/>
    </row>
    <row r="27" spans="16:102" ht="12.75" customHeight="1" x14ac:dyDescent="0.2">
      <c r="P27" s="38">
        <f>Planning!N27</f>
        <v>0</v>
      </c>
      <c r="Q27" s="39" t="str">
        <f>[1]Planning!Q27</f>
        <v/>
      </c>
      <c r="R27" s="40"/>
      <c r="S27" s="260"/>
      <c r="T27" s="40"/>
      <c r="U27" s="260"/>
      <c r="V27" s="40"/>
      <c r="W27" s="260"/>
      <c r="X27" s="40"/>
      <c r="Y27" s="260"/>
      <c r="Z27" s="40"/>
      <c r="AA27" s="260"/>
      <c r="AB27" s="40"/>
      <c r="AC27" s="260"/>
      <c r="AD27" s="269"/>
      <c r="AE27" s="28">
        <v>8</v>
      </c>
      <c r="AF27" s="23" t="s">
        <v>24</v>
      </c>
      <c r="AG27" s="258">
        <f>Year8</f>
        <v>2024</v>
      </c>
      <c r="AH27" s="24" t="e">
        <f t="shared" ref="AH27" si="56">IF(AR27="","",IF($AR$18=1,AR27,AR27*VE))</f>
        <v>#REF!</v>
      </c>
      <c r="AI27" s="24" t="e">
        <f t="shared" ref="AI27" si="57">IF(AS27="","",IF($AR$18=1,AS27,AS27*VE))</f>
        <v>#REF!</v>
      </c>
      <c r="AJ27" s="24" t="e">
        <f t="shared" ref="AJ27" si="58">IF(AT27="","",IF($AR$18=1,AT27,AT27*VE))</f>
        <v>#REF!</v>
      </c>
      <c r="AK27" s="24" t="e">
        <f t="shared" ref="AK27" si="59">IF(AU27="","",IF($AR$18=1,AU27,AU27*VE))</f>
        <v>#REF!</v>
      </c>
      <c r="AL27" s="29" t="str">
        <f>IF([1]Planning!AG26=0,"",IF($AR$18=1,IF(AG27&lt;RptYr,[1]Planning!AG26,IF(AG27=RptYr,VLOOKUP((RptYr),YearAndPrcntPlanned,28)*RIGHT(RptQtr)*0.25,[1]Planning!AG26)),IF(AG27&lt;RptYr,[1]Planning!AG26*VE,IF(AG27=RptYr,VLOOKUP((RptYr),YearAndPrcntPlanned,28)*RIGHT(RptQtr)*0.25*VE,[1]Planning!AG26*VE))))</f>
        <v/>
      </c>
      <c r="AM27" s="30" t="e">
        <f t="shared" ref="AM27" si="60">IF($AR$18=1,IF(AG27&lt;=RptYr,SUM(AR27:AU27),""),IF(AG27&lt;=RptYr,SUM(AR27:AU27)*VE,""))</f>
        <v>#REF!</v>
      </c>
      <c r="AN27" s="31" t="e">
        <f t="shared" ref="AN27" si="61">IF(AG27&lt;=RptYr,(AN26+IF(AL27="",0,AL27)),"")</f>
        <v>#REF!</v>
      </c>
      <c r="AO27" s="32" t="e">
        <f t="shared" ref="AO27" si="62">IF(AG27&lt;=RptYr,(AM27+AO26),"")</f>
        <v>#REF!</v>
      </c>
      <c r="AP27" s="33" t="e">
        <f t="shared" ref="AP27" si="63">IF(AG27&lt;=RptYr,(AO27-AN27),"")</f>
        <v>#REF!</v>
      </c>
      <c r="AR27" s="24" t="e">
        <f t="array" ref="AR27">IF(LEN($AG27)&lt;4,"",IF(RptYr*4+RIGHT(RptQtr,1)&gt;=$AG27*4+RIGHT(AH$18,1),SUM((ProgYearDone=$AG27)*(ProgQuarter=AH$18)*ProgPrcntDone)+IF(AND(RptYr=$AG27,RptQtr=AH$18),[1]Calculations!$O$419),""))</f>
        <v>#REF!</v>
      </c>
      <c r="AS27" s="24" t="e">
        <f t="array" ref="AS27">IF(LEN($AG27)&lt;4,"",IF(RptYr*4+RIGHT(RptQtr,1)&gt;=$AG27*4+RIGHT(AI$18,1),SUM((ProgYearDone=$AG27)*(ProgQuarter=AI$18)*ProgPrcntDone)+IF(AND(RptYr=$AG27,RptQtr=AI$18),[1]Calculations!$O$419),""))</f>
        <v>#REF!</v>
      </c>
      <c r="AT27" s="24" t="e">
        <f t="array" ref="AT27">IF(LEN($AG27)&lt;4,"",IF(RptYr*4+RIGHT(RptQtr,1)&gt;=$AG27*4+RIGHT(AJ$18,1),SUM((ProgYearDone=$AG27)*(ProgQuarter=AJ$18)*ProgPrcntDone)+IF(AND(RptYr=$AG27,RptQtr=AJ$18),[1]Calculations!$O$419),""))</f>
        <v>#REF!</v>
      </c>
      <c r="AU27" s="24" t="e">
        <f t="array" ref="AU27">IF(LEN($AG27)&lt;4,"",IF(RptYr*4+RIGHT(RptQtr,1)&gt;=$AG27*4+RIGHT(AK$18,1),SUM((ProgYearDone=$AG27)*(ProgQuarter=AK$18)*ProgPrcntDone)+IF(AND(RptYr=$AG27,RptQtr=AK$18),[1]Calculations!$O$419),""))</f>
        <v>#REF!</v>
      </c>
      <c r="AV27" s="41">
        <f>[1]Planning!R27</f>
        <v>0</v>
      </c>
      <c r="AW27" s="42">
        <f>[1]Planning!R27</f>
        <v>0</v>
      </c>
      <c r="AX27" s="41">
        <f>[1]Planning!S27</f>
        <v>0</v>
      </c>
      <c r="AY27" s="42">
        <f>[1]Planning!S27</f>
        <v>0</v>
      </c>
      <c r="AZ27" s="41">
        <f>[1]Planning!T27</f>
        <v>0</v>
      </c>
      <c r="BA27" s="42">
        <f>[1]Planning!T27</f>
        <v>0</v>
      </c>
      <c r="BB27" s="41">
        <f>[1]Planning!U27</f>
        <v>0</v>
      </c>
      <c r="BC27" s="42">
        <f>[1]Planning!U27</f>
        <v>0</v>
      </c>
      <c r="BD27" s="41">
        <f>[1]Planning!V27</f>
        <v>0</v>
      </c>
      <c r="BE27" s="42">
        <f>[1]Planning!V27</f>
        <v>0</v>
      </c>
      <c r="BF27" s="41">
        <f>[1]Planning!W27</f>
        <v>0</v>
      </c>
      <c r="BG27" s="43">
        <f>[1]Planning!W27</f>
        <v>0</v>
      </c>
      <c r="BH27" s="279" t="e">
        <f>(GraphFirstYear&amp;1)*1</f>
        <v>#REF!</v>
      </c>
      <c r="BI27" s="280"/>
      <c r="BJ27" s="281"/>
      <c r="BK27" s="265">
        <f>IF([1]Planning!AG$19="",,IF($AR$18=1,[1]Planning!AG$19*0.25,[1]Planning!AG$19*0.25*VE))</f>
        <v>261.52499999999998</v>
      </c>
      <c r="BL27" s="272">
        <f>IF($AR$18=1,IF(BL26="",0,IF(BK27+BL26&lt;=1,IF(SUM(BK27:BK31)&gt;=0.0001,BK27+BL26,),)),BK27+BL26)</f>
        <v>1375.2249999999999</v>
      </c>
      <c r="BM27" s="272" t="e">
        <f>AH20</f>
        <v>#REF!</v>
      </c>
      <c r="BN27" s="273">
        <f>IF(ISERROR(BM27+BN26),,BM27+BN26)</f>
        <v>0</v>
      </c>
      <c r="BO27" s="256"/>
      <c r="BP27" s="256"/>
      <c r="BQ27" s="256"/>
      <c r="BR27" s="256"/>
      <c r="BS27" s="256"/>
      <c r="BT27" s="256"/>
      <c r="BU27" s="256"/>
      <c r="BV27" s="256"/>
      <c r="BW27" s="256"/>
      <c r="BX27" s="256"/>
      <c r="BY27" s="256"/>
      <c r="BZ27" s="256"/>
      <c r="CA27" s="282"/>
      <c r="CB27" s="256"/>
      <c r="CC27" s="256"/>
    </row>
    <row r="28" spans="16:102" ht="12.75" customHeight="1" x14ac:dyDescent="0.2">
      <c r="P28" s="38">
        <f>Planning!N28</f>
        <v>0</v>
      </c>
      <c r="Q28" s="39" t="str">
        <f>[1]Planning!Q28</f>
        <v/>
      </c>
      <c r="R28" s="40"/>
      <c r="S28" s="260"/>
      <c r="T28" s="40"/>
      <c r="U28" s="260"/>
      <c r="V28" s="40"/>
      <c r="W28" s="260"/>
      <c r="X28" s="40"/>
      <c r="Y28" s="260"/>
      <c r="Z28" s="40"/>
      <c r="AA28" s="260"/>
      <c r="AB28" s="40"/>
      <c r="AC28" s="260"/>
      <c r="AD28" s="269"/>
      <c r="AE28" s="28">
        <v>9</v>
      </c>
      <c r="AF28" s="23" t="s">
        <v>24</v>
      </c>
      <c r="AG28" s="258">
        <f>Year9</f>
        <v>2025</v>
      </c>
      <c r="AH28" s="24" t="e">
        <f t="shared" ref="AH28" si="64">IF(AR28="","",IF($AR$18=1,AR28,AR28*VE))</f>
        <v>#REF!</v>
      </c>
      <c r="AI28" s="24" t="e">
        <f t="shared" ref="AI28" si="65">IF(AS28="","",IF($AR$18=1,AS28,AS28*VE))</f>
        <v>#REF!</v>
      </c>
      <c r="AJ28" s="24" t="e">
        <f t="shared" ref="AJ28" si="66">IF(AT28="","",IF($AR$18=1,AT28,AT28*VE))</f>
        <v>#REF!</v>
      </c>
      <c r="AK28" s="24" t="e">
        <f t="shared" ref="AK28" si="67">IF(AU28="","",IF($AR$18=1,AU28,AU28*VE))</f>
        <v>#REF!</v>
      </c>
      <c r="AL28" s="29" t="str">
        <f>IF([1]Planning!AG27=0,"",IF($AR$18=1,IF(AG28&lt;RptYr,[1]Planning!AG27,IF(AG28=RptYr,VLOOKUP((RptYr),YearAndPrcntPlanned,28)*RIGHT(RptQtr)*0.25,[1]Planning!AG27)),IF(AG28&lt;RptYr,[1]Planning!AG27*VE,IF(AG28=RptYr,VLOOKUP((RptYr),YearAndPrcntPlanned,28)*RIGHT(RptQtr)*0.25*VE,[1]Planning!AG27*VE))))</f>
        <v/>
      </c>
      <c r="AM28" s="30" t="e">
        <f t="shared" ref="AM28" si="68">IF($AR$18=1,IF(AG28&lt;=RptYr,SUM(AR28:AU28),""),IF(AG28&lt;=RptYr,SUM(AR28:AU28)*VE,""))</f>
        <v>#REF!</v>
      </c>
      <c r="AN28" s="31" t="e">
        <f t="shared" ref="AN28" si="69">IF(AG28&lt;=RptYr,(AN27+IF(AL28="",0,AL28)),"")</f>
        <v>#REF!</v>
      </c>
      <c r="AO28" s="32" t="e">
        <f t="shared" ref="AO28" si="70">IF(AG28&lt;=RptYr,(AM28+AO27),"")</f>
        <v>#REF!</v>
      </c>
      <c r="AP28" s="33" t="e">
        <f t="shared" ref="AP28" si="71">IF(AG28&lt;=RptYr,(AO28-AN28),"")</f>
        <v>#REF!</v>
      </c>
      <c r="AR28" s="24" t="e">
        <f t="array" ref="AR28">IF(LEN($AG28)&lt;4,"",IF(RptYr*4+RIGHT(RptQtr,1)&gt;=$AG28*4+RIGHT(AH$18,1),SUM((ProgYearDone=$AG28)*(ProgQuarter=AH$18)*ProgPrcntDone)+IF(AND(RptYr=$AG28,RptQtr=AH$18),[1]Calculations!$O$419),""))</f>
        <v>#REF!</v>
      </c>
      <c r="AS28" s="24" t="e">
        <f t="array" ref="AS28">IF(LEN($AG28)&lt;4,"",IF(RptYr*4+RIGHT(RptQtr,1)&gt;=$AG28*4+RIGHT(AI$18,1),SUM((ProgYearDone=$AG28)*(ProgQuarter=AI$18)*ProgPrcntDone)+IF(AND(RptYr=$AG28,RptQtr=AI$18),[1]Calculations!$O$419),""))</f>
        <v>#REF!</v>
      </c>
      <c r="AT28" s="24" t="e">
        <f t="array" ref="AT28">IF(LEN($AG28)&lt;4,"",IF(RptYr*4+RIGHT(RptQtr,1)&gt;=$AG28*4+RIGHT(AJ$18,1),SUM((ProgYearDone=$AG28)*(ProgQuarter=AJ$18)*ProgPrcntDone)+IF(AND(RptYr=$AG28,RptQtr=AJ$18),[1]Calculations!$O$419),""))</f>
        <v>#REF!</v>
      </c>
      <c r="AU28" s="24" t="e">
        <f t="array" ref="AU28">IF(LEN($AG28)&lt;4,"",IF(RptYr*4+RIGHT(RptQtr,1)&gt;=$AG28*4+RIGHT(AK$18,1),SUM((ProgYearDone=$AG28)*(ProgQuarter=AK$18)*ProgPrcntDone)+IF(AND(RptYr=$AG28,RptQtr=AK$18),[1]Calculations!$O$419),""))</f>
        <v>#REF!</v>
      </c>
      <c r="AV28" s="41">
        <f>[1]Planning!R28</f>
        <v>0</v>
      </c>
      <c r="AW28" s="42">
        <f>[1]Planning!R28</f>
        <v>0</v>
      </c>
      <c r="AX28" s="41">
        <f>[1]Planning!S28</f>
        <v>0</v>
      </c>
      <c r="AY28" s="42">
        <f>[1]Planning!S28</f>
        <v>0</v>
      </c>
      <c r="AZ28" s="41">
        <f>[1]Planning!T28</f>
        <v>0</v>
      </c>
      <c r="BA28" s="42">
        <f>[1]Planning!T28</f>
        <v>0</v>
      </c>
      <c r="BB28" s="41">
        <f>[1]Planning!U28</f>
        <v>0</v>
      </c>
      <c r="BC28" s="42">
        <f>[1]Planning!U28</f>
        <v>0</v>
      </c>
      <c r="BD28" s="41">
        <f>[1]Planning!V28</f>
        <v>0</v>
      </c>
      <c r="BE28" s="42">
        <f>[1]Planning!V28</f>
        <v>0</v>
      </c>
      <c r="BF28" s="41">
        <f>[1]Planning!W28</f>
        <v>0</v>
      </c>
      <c r="BG28" s="43">
        <f>[1]Planning!W28</f>
        <v>0</v>
      </c>
      <c r="BH28" s="283" t="e">
        <f>(GraphFirstYear&amp;2)*1</f>
        <v>#REF!</v>
      </c>
      <c r="BI28" s="284">
        <f>Year1</f>
        <v>2017</v>
      </c>
      <c r="BJ28" s="281"/>
      <c r="BK28" s="265">
        <f>IF([1]Planning!AG$19="",,IF($AR$18=1,[1]Planning!AG$19*0.25,[1]Planning!AG$19*0.25*VE))</f>
        <v>261.52499999999998</v>
      </c>
      <c r="BL28" s="272">
        <f t="shared" ref="BL28:BL91" si="72">IF($AR$18=1,IF(BL27="",0,IF(BK28+BL27&lt;=1,IF(SUM(BK28:BK32)&gt;=0.0001,BK28+BL27,),)),BK28+BL27)</f>
        <v>1636.75</v>
      </c>
      <c r="BM28" s="272" t="e">
        <f>AI20</f>
        <v>#REF!</v>
      </c>
      <c r="BN28" s="273">
        <f t="shared" ref="BN28:BN91" si="73">IF(ISERROR(BM28+BN27),,BM28+BN27)</f>
        <v>0</v>
      </c>
      <c r="BO28" s="256"/>
      <c r="BP28" s="256"/>
      <c r="BQ28" s="256"/>
      <c r="BR28" s="256"/>
      <c r="BS28" s="256"/>
      <c r="BT28" s="256"/>
      <c r="BU28" s="256"/>
      <c r="BV28" s="256"/>
      <c r="BW28" s="256"/>
      <c r="BX28" s="256"/>
      <c r="BY28" s="256"/>
      <c r="BZ28" s="256"/>
      <c r="CA28" s="256"/>
      <c r="CB28" s="256"/>
      <c r="CC28" s="256"/>
    </row>
    <row r="29" spans="16:102" ht="12.75" customHeight="1" x14ac:dyDescent="0.2">
      <c r="P29" s="38">
        <f>Planning!N29</f>
        <v>0</v>
      </c>
      <c r="Q29" s="39" t="str">
        <f>[1]Planning!Q29</f>
        <v/>
      </c>
      <c r="R29" s="40"/>
      <c r="S29" s="260"/>
      <c r="T29" s="40"/>
      <c r="U29" s="260"/>
      <c r="V29" s="40"/>
      <c r="W29" s="260"/>
      <c r="X29" s="40"/>
      <c r="Y29" s="260"/>
      <c r="Z29" s="40"/>
      <c r="AA29" s="260"/>
      <c r="AB29" s="40"/>
      <c r="AC29" s="260"/>
      <c r="AD29" s="2"/>
      <c r="AE29" s="28">
        <v>10</v>
      </c>
      <c r="AF29" s="23" t="s">
        <v>24</v>
      </c>
      <c r="AG29" s="258">
        <f>Year10</f>
        <v>2026</v>
      </c>
      <c r="AH29" s="24" t="e">
        <f t="shared" ref="AH29" si="74">IF(AR29="","",IF($AR$18=1,AR29,AR29*VE))</f>
        <v>#REF!</v>
      </c>
      <c r="AI29" s="24" t="e">
        <f t="shared" ref="AI29" si="75">IF(AS29="","",IF($AR$18=1,AS29,AS29*VE))</f>
        <v>#REF!</v>
      </c>
      <c r="AJ29" s="24" t="e">
        <f t="shared" ref="AJ29" si="76">IF(AT29="","",IF($AR$18=1,AT29,AT29*VE))</f>
        <v>#REF!</v>
      </c>
      <c r="AK29" s="24" t="e">
        <f t="shared" ref="AK29" si="77">IF(AU29="","",IF($AR$18=1,AU29,AU29*VE))</f>
        <v>#REF!</v>
      </c>
      <c r="AL29" s="29" t="str">
        <f>IF([1]Planning!AG28=0,"",IF($AR$18=1,IF(AG29&lt;RptYr,[1]Planning!AG28,IF(AG29=RptYr,VLOOKUP((RptYr),YearAndPrcntPlanned,28)*RIGHT(RptQtr)*0.25,[1]Planning!AG28)),IF(AG29&lt;RptYr,[1]Planning!AG28*VE,IF(AG29=RptYr,VLOOKUP((RptYr),YearAndPrcntPlanned,28)*RIGHT(RptQtr)*0.25*VE,[1]Planning!AG28*VE))))</f>
        <v/>
      </c>
      <c r="AM29" s="30" t="e">
        <f t="shared" ref="AM29" si="78">IF($AR$18=1,IF(AG29&lt;=RptYr,SUM(AR29:AU29),""),IF(AG29&lt;=RptYr,SUM(AR29:AU29)*VE,""))</f>
        <v>#REF!</v>
      </c>
      <c r="AN29" s="31" t="e">
        <f t="shared" ref="AN29" si="79">IF(AG29&lt;=RptYr,(AN28+IF(AL29="",0,AL29)),"")</f>
        <v>#REF!</v>
      </c>
      <c r="AO29" s="32" t="e">
        <f t="shared" ref="AO29" si="80">IF(AG29&lt;=RptYr,(AM29+AO28),"")</f>
        <v>#REF!</v>
      </c>
      <c r="AP29" s="33" t="e">
        <f t="shared" ref="AP29" si="81">IF(AG29&lt;=RptYr,(AO29-AN29),"")</f>
        <v>#REF!</v>
      </c>
      <c r="AR29" s="24" t="e">
        <f t="array" ref="AR29">IF(LEN($AG29)&lt;4,"",IF(RptYr*4+RIGHT(RptQtr,1)&gt;=$AG29*4+RIGHT(AH$18,1),SUM((ProgYearDone=$AG29)*(ProgQuarter=AH$18)*ProgPrcntDone)+IF(AND(RptYr=$AG29,RptQtr=AH$18),[1]Calculations!$O$419),""))</f>
        <v>#REF!</v>
      </c>
      <c r="AS29" s="24" t="e">
        <f t="array" ref="AS29">IF(LEN($AG29)&lt;4,"",IF(RptYr*4+RIGHT(RptQtr,1)&gt;=$AG29*4+RIGHT(AI$18,1),SUM((ProgYearDone=$AG29)*(ProgQuarter=AI$18)*ProgPrcntDone)+IF(AND(RptYr=$AG29,RptQtr=AI$18),[1]Calculations!$O$419),""))</f>
        <v>#REF!</v>
      </c>
      <c r="AT29" s="24" t="e">
        <f t="array" ref="AT29">IF(LEN($AG29)&lt;4,"",IF(RptYr*4+RIGHT(RptQtr,1)&gt;=$AG29*4+RIGHT(AJ$18,1),SUM((ProgYearDone=$AG29)*(ProgQuarter=AJ$18)*ProgPrcntDone)+IF(AND(RptYr=$AG29,RptQtr=AJ$18),[1]Calculations!$O$419),""))</f>
        <v>#REF!</v>
      </c>
      <c r="AU29" s="24" t="e">
        <f t="array" ref="AU29">IF(LEN($AG29)&lt;4,"",IF(RptYr*4+RIGHT(RptQtr,1)&gt;=$AG29*4+RIGHT(AK$18,1),SUM((ProgYearDone=$AG29)*(ProgQuarter=AK$18)*ProgPrcntDone)+IF(AND(RptYr=$AG29,RptQtr=AK$18),[1]Calculations!$O$419),""))</f>
        <v>#REF!</v>
      </c>
      <c r="AV29" s="41">
        <f>[1]Planning!R29</f>
        <v>0</v>
      </c>
      <c r="AW29" s="42">
        <f>[1]Planning!R29</f>
        <v>0</v>
      </c>
      <c r="AX29" s="41">
        <f>[1]Planning!S29</f>
        <v>0</v>
      </c>
      <c r="AY29" s="42">
        <f>[1]Planning!S29</f>
        <v>0</v>
      </c>
      <c r="AZ29" s="41">
        <f>[1]Planning!T29</f>
        <v>0</v>
      </c>
      <c r="BA29" s="42">
        <f>[1]Planning!T29</f>
        <v>0</v>
      </c>
      <c r="BB29" s="41">
        <f>[1]Planning!U29</f>
        <v>0</v>
      </c>
      <c r="BC29" s="42">
        <f>[1]Planning!U29</f>
        <v>0</v>
      </c>
      <c r="BD29" s="41">
        <f>[1]Planning!V29</f>
        <v>0</v>
      </c>
      <c r="BE29" s="42">
        <f>[1]Planning!V29</f>
        <v>0</v>
      </c>
      <c r="BF29" s="41">
        <f>[1]Planning!W29</f>
        <v>0</v>
      </c>
      <c r="BG29" s="43">
        <f>[1]Planning!W29</f>
        <v>0</v>
      </c>
      <c r="BH29" s="283" t="e">
        <f>(GraphFirstYear&amp;3)*1</f>
        <v>#REF!</v>
      </c>
      <c r="BI29" s="284"/>
      <c r="BJ29" s="281"/>
      <c r="BK29" s="265">
        <f>IF([1]Planning!AG$19="",,IF($AR$18=1,[1]Planning!AG$19*0.25,[1]Planning!AG$19*0.25*VE))</f>
        <v>261.52499999999998</v>
      </c>
      <c r="BL29" s="272">
        <f t="shared" si="72"/>
        <v>1898.2750000000001</v>
      </c>
      <c r="BM29" s="272" t="e">
        <f>AJ20</f>
        <v>#REF!</v>
      </c>
      <c r="BN29" s="273">
        <f t="shared" si="73"/>
        <v>0</v>
      </c>
      <c r="BO29" s="256"/>
      <c r="BP29" s="256"/>
      <c r="BQ29" s="256"/>
      <c r="BR29" s="256"/>
      <c r="BS29" s="256"/>
      <c r="BT29" s="256"/>
      <c r="BU29" s="256"/>
      <c r="BV29" s="256"/>
      <c r="BW29" s="256"/>
      <c r="BX29" s="256"/>
      <c r="BY29" s="256"/>
      <c r="BZ29" s="256"/>
      <c r="CA29" s="256"/>
      <c r="CB29" s="256"/>
      <c r="CC29" s="256"/>
    </row>
    <row r="30" spans="16:102" ht="12.75" customHeight="1" thickBot="1" x14ac:dyDescent="0.25">
      <c r="P30" s="38">
        <f>Planning!N30</f>
        <v>0</v>
      </c>
      <c r="Q30" s="39" t="str">
        <f>[1]Planning!Q30</f>
        <v/>
      </c>
      <c r="R30" s="40"/>
      <c r="S30" s="260"/>
      <c r="T30" s="40"/>
      <c r="U30" s="260"/>
      <c r="V30" s="40"/>
      <c r="W30" s="260"/>
      <c r="X30" s="40"/>
      <c r="Y30" s="260"/>
      <c r="Z30" s="40"/>
      <c r="AA30" s="260"/>
      <c r="AB30" s="40"/>
      <c r="AC30" s="260"/>
      <c r="AD30" s="2"/>
      <c r="AE30" s="28">
        <v>11</v>
      </c>
      <c r="AF30" s="23" t="s">
        <v>24</v>
      </c>
      <c r="AG30" s="258">
        <f>Year11</f>
        <v>2027</v>
      </c>
      <c r="AH30" s="24" t="e">
        <f t="shared" ref="AH30" si="82">IF(AR30="","",IF($AR$18=1,AR30,AR30*VE))</f>
        <v>#REF!</v>
      </c>
      <c r="AI30" s="24" t="e">
        <f t="shared" ref="AI30" si="83">IF(AS30="","",IF($AR$18=1,AS30,AS30*VE))</f>
        <v>#REF!</v>
      </c>
      <c r="AJ30" s="24" t="e">
        <f t="shared" ref="AJ30" si="84">IF(AT30="","",IF($AR$18=1,AT30,AT30*VE))</f>
        <v>#REF!</v>
      </c>
      <c r="AK30" s="24" t="e">
        <f t="shared" ref="AK30" si="85">IF(AU30="","",IF($AR$18=1,AU30,AU30*VE))</f>
        <v>#REF!</v>
      </c>
      <c r="AL30" s="29" t="str">
        <f>IF([1]Planning!AG29=0,"",IF($AR$18=1,IF(AG30&lt;RptYr,[1]Planning!AG29,IF(AG30=RptYr,VLOOKUP((RptYr),YearAndPrcntPlanned,28)*RIGHT(RptQtr)*0.25,[1]Planning!AG29)),IF(AG30&lt;RptYr,[1]Planning!AG29*VE,IF(AG30=RptYr,VLOOKUP((RptYr),YearAndPrcntPlanned,28)*RIGHT(RptQtr)*0.25*VE,[1]Planning!AG29*VE))))</f>
        <v/>
      </c>
      <c r="AM30" s="30" t="e">
        <f t="shared" ref="AM30" si="86">IF($AR$18=1,IF(AG30&lt;=RptYr,SUM(AR30:AU30),""),IF(AG30&lt;=RptYr,SUM(AR30:AU30)*VE,""))</f>
        <v>#REF!</v>
      </c>
      <c r="AN30" s="31" t="e">
        <f t="shared" ref="AN30" si="87">IF(AG30&lt;=RptYr,(AN29+IF(AL30="",0,AL30)),"")</f>
        <v>#REF!</v>
      </c>
      <c r="AO30" s="32" t="e">
        <f t="shared" ref="AO30" si="88">IF(AG30&lt;=RptYr,(AM30+AO29),"")</f>
        <v>#REF!</v>
      </c>
      <c r="AP30" s="33" t="e">
        <f t="shared" ref="AP30" si="89">IF(AG30&lt;=RptYr,(AO30-AN30),"")</f>
        <v>#REF!</v>
      </c>
      <c r="AR30" s="24" t="e">
        <f t="array" ref="AR30">IF(LEN($AG30)&lt;4,"",IF(RptYr*4+RIGHT(RptQtr,1)&gt;=$AG30*4+RIGHT(AH$18,1),SUM((ProgYearDone=$AG30)*(ProgQuarter=AH$18)*ProgPrcntDone)+IF(AND(RptYr=$AG30,RptQtr=AH$18),[1]Calculations!$O$419),""))</f>
        <v>#REF!</v>
      </c>
      <c r="AS30" s="24" t="e">
        <f t="array" ref="AS30">IF(LEN($AG30)&lt;4,"",IF(RptYr*4+RIGHT(RptQtr,1)&gt;=$AG30*4+RIGHT(AI$18,1),SUM((ProgYearDone=$AG30)*(ProgQuarter=AI$18)*ProgPrcntDone)+IF(AND(RptYr=$AG30,RptQtr=AI$18),[1]Calculations!$O$419),""))</f>
        <v>#REF!</v>
      </c>
      <c r="AT30" s="24" t="e">
        <f t="array" ref="AT30">IF(LEN($AG30)&lt;4,"",IF(RptYr*4+RIGHT(RptQtr,1)&gt;=$AG30*4+RIGHT(AJ$18,1),SUM((ProgYearDone=$AG30)*(ProgQuarter=AJ$18)*ProgPrcntDone)+IF(AND(RptYr=$AG30,RptQtr=AJ$18),[1]Calculations!$O$419),""))</f>
        <v>#REF!</v>
      </c>
      <c r="AU30" s="24" t="e">
        <f t="array" ref="AU30">IF(LEN($AG30)&lt;4,"",IF(RptYr*4+RIGHT(RptQtr,1)&gt;=$AG30*4+RIGHT(AK$18,1),SUM((ProgYearDone=$AG30)*(ProgQuarter=AK$18)*ProgPrcntDone)+IF(AND(RptYr=$AG30,RptQtr=AK$18),[1]Calculations!$O$419),""))</f>
        <v>#REF!</v>
      </c>
      <c r="AV30" s="41">
        <f>[1]Planning!R30</f>
        <v>0</v>
      </c>
      <c r="AW30" s="42">
        <f>[1]Planning!R30</f>
        <v>0</v>
      </c>
      <c r="AX30" s="41">
        <f>[1]Planning!S30</f>
        <v>0</v>
      </c>
      <c r="AY30" s="42">
        <f>[1]Planning!S30</f>
        <v>0</v>
      </c>
      <c r="AZ30" s="41">
        <f>[1]Planning!T30</f>
        <v>0</v>
      </c>
      <c r="BA30" s="42">
        <f>[1]Planning!T30</f>
        <v>0</v>
      </c>
      <c r="BB30" s="41">
        <f>[1]Planning!U30</f>
        <v>0</v>
      </c>
      <c r="BC30" s="42">
        <f>[1]Planning!U30</f>
        <v>0</v>
      </c>
      <c r="BD30" s="41">
        <f>[1]Planning!V30</f>
        <v>0</v>
      </c>
      <c r="BE30" s="42">
        <f>[1]Planning!V30</f>
        <v>0</v>
      </c>
      <c r="BF30" s="41">
        <f>[1]Planning!W30</f>
        <v>0</v>
      </c>
      <c r="BG30" s="43">
        <f>[1]Planning!W30</f>
        <v>0</v>
      </c>
      <c r="BH30" s="277" t="e">
        <f>(GraphFirstYear&amp;4)*1</f>
        <v>#REF!</v>
      </c>
      <c r="BI30" s="285"/>
      <c r="BJ30" s="281"/>
      <c r="BK30" s="265">
        <f>IF([1]Planning!AG$19="",,IF($AR$18=1,[1]Planning!AG$19*0.25,[1]Planning!AG$19*0.25*VE))</f>
        <v>261.52499999999998</v>
      </c>
      <c r="BL30" s="272">
        <f t="shared" si="72"/>
        <v>2159.8000000000002</v>
      </c>
      <c r="BM30" s="272" t="e">
        <f>AK20</f>
        <v>#REF!</v>
      </c>
      <c r="BN30" s="273">
        <f t="shared" si="73"/>
        <v>0</v>
      </c>
      <c r="BO30" s="256"/>
      <c r="BP30" s="256"/>
      <c r="BQ30" s="256"/>
      <c r="BR30" s="256"/>
      <c r="BS30" s="256"/>
      <c r="BT30" s="256"/>
      <c r="BU30" s="256"/>
      <c r="BV30" s="256"/>
      <c r="BW30" s="256"/>
      <c r="BX30" s="256"/>
      <c r="BY30" s="256"/>
      <c r="BZ30" s="256"/>
      <c r="CA30" s="256"/>
      <c r="CB30" s="256"/>
      <c r="CC30" s="256"/>
    </row>
    <row r="31" spans="16:102" ht="12.75" customHeight="1" x14ac:dyDescent="0.2">
      <c r="P31" s="38">
        <f>Planning!N31</f>
        <v>0</v>
      </c>
      <c r="Q31" s="39" t="str">
        <f>[1]Planning!Q31</f>
        <v/>
      </c>
      <c r="R31" s="40"/>
      <c r="S31" s="260"/>
      <c r="T31" s="40"/>
      <c r="U31" s="260"/>
      <c r="V31" s="40"/>
      <c r="W31" s="260"/>
      <c r="X31" s="40"/>
      <c r="Y31" s="260"/>
      <c r="Z31" s="40"/>
      <c r="AA31" s="260"/>
      <c r="AB31" s="40"/>
      <c r="AC31" s="260"/>
      <c r="AD31" s="2"/>
      <c r="AE31" s="28">
        <v>12</v>
      </c>
      <c r="AF31" s="23" t="s">
        <v>24</v>
      </c>
      <c r="AG31" s="258">
        <f>Year12</f>
        <v>2028</v>
      </c>
      <c r="AH31" s="24" t="e">
        <f t="shared" ref="AH31" si="90">IF(AR31="","",IF($AR$18=1,AR31,AR31*VE))</f>
        <v>#REF!</v>
      </c>
      <c r="AI31" s="24" t="e">
        <f t="shared" ref="AI31" si="91">IF(AS31="","",IF($AR$18=1,AS31,AS31*VE))</f>
        <v>#REF!</v>
      </c>
      <c r="AJ31" s="24" t="e">
        <f t="shared" ref="AJ31" si="92">IF(AT31="","",IF($AR$18=1,AT31,AT31*VE))</f>
        <v>#REF!</v>
      </c>
      <c r="AK31" s="24" t="e">
        <f t="shared" ref="AK31" si="93">IF(AU31="","",IF($AR$18=1,AU31,AU31*VE))</f>
        <v>#REF!</v>
      </c>
      <c r="AL31" s="29" t="str">
        <f>IF([1]Planning!AG30=0,"",IF($AR$18=1,IF(AG31&lt;RptYr,[1]Planning!AG30,IF(AG31=RptYr,VLOOKUP((RptYr),YearAndPrcntPlanned,28)*RIGHT(RptQtr)*0.25,[1]Planning!AG30)),IF(AG31&lt;RptYr,[1]Planning!AG30*VE,IF(AG31=RptYr,VLOOKUP((RptYr),YearAndPrcntPlanned,28)*RIGHT(RptQtr)*0.25*VE,[1]Planning!AG30*VE))))</f>
        <v/>
      </c>
      <c r="AM31" s="30" t="e">
        <f t="shared" ref="AM31" si="94">IF($AR$18=1,IF(AG31&lt;=RptYr,SUM(AR31:AU31),""),IF(AG31&lt;=RptYr,SUM(AR31:AU31)*VE,""))</f>
        <v>#REF!</v>
      </c>
      <c r="AN31" s="31" t="e">
        <f t="shared" ref="AN31" si="95">IF(AG31&lt;=RptYr,(AN30+IF(AL31="",0,AL31)),"")</f>
        <v>#REF!</v>
      </c>
      <c r="AO31" s="32" t="e">
        <f t="shared" ref="AO31" si="96">IF(AG31&lt;=RptYr,(AM31+AO30),"")</f>
        <v>#REF!</v>
      </c>
      <c r="AP31" s="33" t="e">
        <f t="shared" ref="AP31" si="97">IF(AG31&lt;=RptYr,(AO31-AN31),"")</f>
        <v>#REF!</v>
      </c>
      <c r="AR31" s="24" t="e">
        <f t="array" ref="AR31">IF(LEN($AG31)&lt;4,"",IF(RptYr*4+RIGHT(RptQtr,1)&gt;=$AG31*4+RIGHT(AH$18,1),SUM((ProgYearDone=$AG31)*(ProgQuarter=AH$18)*ProgPrcntDone)+IF(AND(RptYr=$AG31,RptQtr=AH$18),[1]Calculations!$O$419),""))</f>
        <v>#REF!</v>
      </c>
      <c r="AS31" s="24" t="e">
        <f t="array" ref="AS31">IF(LEN($AG31)&lt;4,"",IF(RptYr*4+RIGHT(RptQtr,1)&gt;=$AG31*4+RIGHT(AI$18,1),SUM((ProgYearDone=$AG31)*(ProgQuarter=AI$18)*ProgPrcntDone)+IF(AND(RptYr=$AG31,RptQtr=AI$18),[1]Calculations!$O$419),""))</f>
        <v>#REF!</v>
      </c>
      <c r="AT31" s="24" t="e">
        <f t="array" ref="AT31">IF(LEN($AG31)&lt;4,"",IF(RptYr*4+RIGHT(RptQtr,1)&gt;=$AG31*4+RIGHT(AJ$18,1),SUM((ProgYearDone=$AG31)*(ProgQuarter=AJ$18)*ProgPrcntDone)+IF(AND(RptYr=$AG31,RptQtr=AJ$18),[1]Calculations!$O$419),""))</f>
        <v>#REF!</v>
      </c>
      <c r="AU31" s="24" t="e">
        <f t="array" ref="AU31">IF(LEN($AG31)&lt;4,"",IF(RptYr*4+RIGHT(RptQtr,1)&gt;=$AG31*4+RIGHT(AK$18,1),SUM((ProgYearDone=$AG31)*(ProgQuarter=AK$18)*ProgPrcntDone)+IF(AND(RptYr=$AG31,RptQtr=AK$18),[1]Calculations!$O$419),""))</f>
        <v>#REF!</v>
      </c>
      <c r="AV31" s="41">
        <f>[1]Planning!R31</f>
        <v>0</v>
      </c>
      <c r="AW31" s="42">
        <f>[1]Planning!R31</f>
        <v>0</v>
      </c>
      <c r="AX31" s="41">
        <f>[1]Planning!S31</f>
        <v>0</v>
      </c>
      <c r="AY31" s="42">
        <f>[1]Planning!S31</f>
        <v>0</v>
      </c>
      <c r="AZ31" s="41">
        <f>[1]Planning!T31</f>
        <v>0</v>
      </c>
      <c r="BA31" s="42">
        <f>[1]Planning!T31</f>
        <v>0</v>
      </c>
      <c r="BB31" s="41">
        <f>[1]Planning!U31</f>
        <v>0</v>
      </c>
      <c r="BC31" s="42">
        <f>[1]Planning!U31</f>
        <v>0</v>
      </c>
      <c r="BD31" s="41">
        <f>[1]Planning!V31</f>
        <v>0</v>
      </c>
      <c r="BE31" s="42">
        <f>[1]Planning!V31</f>
        <v>0</v>
      </c>
      <c r="BF31" s="41">
        <f>[1]Planning!W31</f>
        <v>0</v>
      </c>
      <c r="BG31" s="43">
        <f>[1]Planning!W31</f>
        <v>0</v>
      </c>
      <c r="BH31" s="279">
        <f>((BI32&amp;1))*1</f>
        <v>20181</v>
      </c>
      <c r="BI31" s="280"/>
      <c r="BJ31" s="286"/>
      <c r="BK31" s="265">
        <f>IF([1]Planning!AG$20="",,IF($AR$18=1,[1]Planning!AG$20*0.25,[1]Planning!AG$20*0.25*VE))</f>
        <v>277.61874999999998</v>
      </c>
      <c r="BL31" s="272">
        <f t="shared" si="72"/>
        <v>2437.4187500000003</v>
      </c>
      <c r="BM31" s="272" t="e">
        <f>AH21</f>
        <v>#REF!</v>
      </c>
      <c r="BN31" s="273">
        <f t="shared" si="73"/>
        <v>0</v>
      </c>
      <c r="BO31" s="256"/>
      <c r="BP31" s="256"/>
      <c r="BQ31" s="256"/>
      <c r="BR31" s="256"/>
      <c r="BS31" s="256"/>
      <c r="BT31" s="256"/>
      <c r="BU31" s="256"/>
      <c r="BV31" s="256"/>
      <c r="BW31" s="256"/>
      <c r="BX31" s="256"/>
      <c r="BY31" s="256"/>
      <c r="BZ31" s="256"/>
      <c r="CA31" s="256"/>
      <c r="CB31" s="256"/>
      <c r="CC31" s="256"/>
    </row>
    <row r="32" spans="16:102" ht="12.75" customHeight="1" x14ac:dyDescent="0.2">
      <c r="P32" s="38">
        <f>Planning!N32</f>
        <v>0</v>
      </c>
      <c r="Q32" s="39" t="str">
        <f>[1]Planning!Q32</f>
        <v/>
      </c>
      <c r="R32" s="40"/>
      <c r="S32" s="260"/>
      <c r="T32" s="40"/>
      <c r="U32" s="260"/>
      <c r="V32" s="40"/>
      <c r="W32" s="260"/>
      <c r="X32" s="40"/>
      <c r="Y32" s="260"/>
      <c r="Z32" s="40"/>
      <c r="AA32" s="260"/>
      <c r="AB32" s="40"/>
      <c r="AC32" s="260"/>
      <c r="AD32" s="2"/>
      <c r="AE32" s="28">
        <v>13</v>
      </c>
      <c r="AF32" s="23" t="s">
        <v>24</v>
      </c>
      <c r="AG32" s="258">
        <f>Year13</f>
        <v>2029</v>
      </c>
      <c r="AH32" s="24" t="e">
        <f t="shared" ref="AH32" si="98">IF(AR32="","",IF($AR$18=1,AR32,AR32*VE))</f>
        <v>#REF!</v>
      </c>
      <c r="AI32" s="24" t="e">
        <f t="shared" ref="AI32" si="99">IF(AS32="","",IF($AR$18=1,AS32,AS32*VE))</f>
        <v>#REF!</v>
      </c>
      <c r="AJ32" s="24" t="e">
        <f t="shared" ref="AJ32" si="100">IF(AT32="","",IF($AR$18=1,AT32,AT32*VE))</f>
        <v>#REF!</v>
      </c>
      <c r="AK32" s="24" t="e">
        <f t="shared" ref="AK32" si="101">IF(AU32="","",IF($AR$18=1,AU32,AU32*VE))</f>
        <v>#REF!</v>
      </c>
      <c r="AL32" s="29" t="str">
        <f>IF([1]Planning!AG31=0,"",IF($AR$18=1,IF(AG32&lt;RptYr,[1]Planning!AG31,IF(AG32=RptYr,VLOOKUP((RptYr),YearAndPrcntPlanned,28)*RIGHT(RptQtr)*0.25,[1]Planning!AG31)),IF(AG32&lt;RptYr,[1]Planning!AG31*VE,IF(AG32=RptYr,VLOOKUP((RptYr),YearAndPrcntPlanned,28)*RIGHT(RptQtr)*0.25*VE,[1]Planning!AG31*VE))))</f>
        <v/>
      </c>
      <c r="AM32" s="30" t="e">
        <f t="shared" ref="AM32" si="102">IF($AR$18=1,IF(AG32&lt;=RptYr,SUM(AR32:AU32),""),IF(AG32&lt;=RptYr,SUM(AR32:AU32)*VE,""))</f>
        <v>#REF!</v>
      </c>
      <c r="AN32" s="31" t="e">
        <f t="shared" ref="AN32" si="103">IF(AG32&lt;=RptYr,(AN31+IF(AL32="",0,AL32)),"")</f>
        <v>#REF!</v>
      </c>
      <c r="AO32" s="32" t="e">
        <f t="shared" ref="AO32" si="104">IF(AG32&lt;=RptYr,(AM32+AO31),"")</f>
        <v>#REF!</v>
      </c>
      <c r="AP32" s="33" t="e">
        <f t="shared" ref="AP32" si="105">IF(AG32&lt;=RptYr,(AO32-AN32),"")</f>
        <v>#REF!</v>
      </c>
      <c r="AR32" s="24" t="e">
        <f t="array" ref="AR32">IF(LEN($AG32)&lt;4,"",IF(RptYr*4+RIGHT(RptQtr,1)&gt;=$AG32*4+RIGHT(AH$18,1),SUM((ProgYearDone=$AG32)*(ProgQuarter=AH$18)*ProgPrcntDone)+IF(AND(RptYr=$AG32,RptQtr=AH$18),[1]Calculations!$O$419),""))</f>
        <v>#REF!</v>
      </c>
      <c r="AS32" s="24" t="e">
        <f t="array" ref="AS32">IF(LEN($AG32)&lt;4,"",IF(RptYr*4+RIGHT(RptQtr,1)&gt;=$AG32*4+RIGHT(AI$18,1),SUM((ProgYearDone=$AG32)*(ProgQuarter=AI$18)*ProgPrcntDone)+IF(AND(RptYr=$AG32,RptQtr=AI$18),[1]Calculations!$O$419),""))</f>
        <v>#REF!</v>
      </c>
      <c r="AT32" s="24" t="e">
        <f t="array" ref="AT32">IF(LEN($AG32)&lt;4,"",IF(RptYr*4+RIGHT(RptQtr,1)&gt;=$AG32*4+RIGHT(AJ$18,1),SUM((ProgYearDone=$AG32)*(ProgQuarter=AJ$18)*ProgPrcntDone)+IF(AND(RptYr=$AG32,RptQtr=AJ$18),[1]Calculations!$O$419),""))</f>
        <v>#REF!</v>
      </c>
      <c r="AU32" s="24" t="e">
        <f t="array" ref="AU32">IF(LEN($AG32)&lt;4,"",IF(RptYr*4+RIGHT(RptQtr,1)&gt;=$AG32*4+RIGHT(AK$18,1),SUM((ProgYearDone=$AG32)*(ProgQuarter=AK$18)*ProgPrcntDone)+IF(AND(RptYr=$AG32,RptQtr=AK$18),[1]Calculations!$O$419),""))</f>
        <v>#REF!</v>
      </c>
      <c r="AV32" s="41">
        <f>[1]Planning!R32</f>
        <v>0</v>
      </c>
      <c r="AW32" s="42">
        <f>[1]Planning!R32</f>
        <v>0</v>
      </c>
      <c r="AX32" s="41">
        <f>[1]Planning!S32</f>
        <v>0</v>
      </c>
      <c r="AY32" s="42">
        <f>[1]Planning!S32</f>
        <v>0</v>
      </c>
      <c r="AZ32" s="41">
        <f>[1]Planning!T32</f>
        <v>0</v>
      </c>
      <c r="BA32" s="42">
        <f>[1]Planning!T32</f>
        <v>0</v>
      </c>
      <c r="BB32" s="41">
        <f>[1]Planning!U32</f>
        <v>0</v>
      </c>
      <c r="BC32" s="42">
        <f>[1]Planning!U32</f>
        <v>0</v>
      </c>
      <c r="BD32" s="41">
        <f>[1]Planning!V32</f>
        <v>0</v>
      </c>
      <c r="BE32" s="42">
        <f>[1]Planning!V32</f>
        <v>0</v>
      </c>
      <c r="BF32" s="41">
        <f>[1]Planning!W32</f>
        <v>0</v>
      </c>
      <c r="BG32" s="43">
        <f>[1]Planning!W32</f>
        <v>0</v>
      </c>
      <c r="BH32" s="283">
        <f>(BI32&amp;2)*1</f>
        <v>20182</v>
      </c>
      <c r="BI32" s="284">
        <f>Year2</f>
        <v>2018</v>
      </c>
      <c r="BJ32" s="286"/>
      <c r="BK32" s="265">
        <f>IF([1]Planning!AG$20="",,IF($AR$18=1,[1]Planning!AG$20*0.25,[1]Planning!AG$20*0.25*VE))</f>
        <v>277.61874999999998</v>
      </c>
      <c r="BL32" s="272">
        <f t="shared" si="72"/>
        <v>2715.0375000000004</v>
      </c>
      <c r="BM32" s="272" t="e">
        <f>AI21</f>
        <v>#REF!</v>
      </c>
      <c r="BN32" s="273">
        <f t="shared" si="73"/>
        <v>0</v>
      </c>
      <c r="BO32" s="256"/>
      <c r="BP32" s="256"/>
      <c r="BQ32" s="256"/>
      <c r="BR32" s="256"/>
      <c r="BS32" s="256"/>
      <c r="BT32" s="256"/>
      <c r="BU32" s="256"/>
      <c r="BV32" s="256"/>
      <c r="BW32" s="256"/>
      <c r="BX32" s="256"/>
      <c r="BY32" s="256"/>
      <c r="BZ32" s="256"/>
      <c r="CA32" s="256"/>
      <c r="CB32" s="256"/>
      <c r="CC32" s="256"/>
    </row>
    <row r="33" spans="16:81" ht="12.75" customHeight="1" x14ac:dyDescent="0.2">
      <c r="P33" s="38">
        <f>Planning!N33</f>
        <v>0</v>
      </c>
      <c r="Q33" s="39" t="str">
        <f>[1]Planning!Q33</f>
        <v/>
      </c>
      <c r="R33" s="40"/>
      <c r="S33" s="260"/>
      <c r="T33" s="40"/>
      <c r="U33" s="260"/>
      <c r="V33" s="40"/>
      <c r="W33" s="260"/>
      <c r="X33" s="40"/>
      <c r="Y33" s="260"/>
      <c r="Z33" s="40"/>
      <c r="AA33" s="260"/>
      <c r="AB33" s="40"/>
      <c r="AC33" s="260"/>
      <c r="AD33" s="2"/>
      <c r="AE33" s="28">
        <v>14</v>
      </c>
      <c r="AF33" s="23" t="s">
        <v>24</v>
      </c>
      <c r="AG33" s="258">
        <f>Year14</f>
        <v>2030</v>
      </c>
      <c r="AH33" s="24" t="e">
        <f t="shared" ref="AH33" si="106">IF(AR33="","",IF($AR$18=1,AR33,AR33*VE))</f>
        <v>#REF!</v>
      </c>
      <c r="AI33" s="24" t="e">
        <f t="shared" ref="AI33" si="107">IF(AS33="","",IF($AR$18=1,AS33,AS33*VE))</f>
        <v>#REF!</v>
      </c>
      <c r="AJ33" s="24" t="e">
        <f t="shared" ref="AJ33" si="108">IF(AT33="","",IF($AR$18=1,AT33,AT33*VE))</f>
        <v>#REF!</v>
      </c>
      <c r="AK33" s="24" t="e">
        <f t="shared" ref="AK33" si="109">IF(AU33="","",IF($AR$18=1,AU33,AU33*VE))</f>
        <v>#REF!</v>
      </c>
      <c r="AL33" s="29" t="str">
        <f>IF([1]Planning!AG32=0,"",IF($AR$18=1,IF(AG33&lt;RptYr,[1]Planning!AG32,IF(AG33=RptYr,VLOOKUP((RptYr),YearAndPrcntPlanned,28)*RIGHT(RptQtr)*0.25,[1]Planning!AG32)),IF(AG33&lt;RptYr,[1]Planning!AG32*VE,IF(AG33=RptYr,VLOOKUP((RptYr),YearAndPrcntPlanned,28)*RIGHT(RptQtr)*0.25*VE,[1]Planning!AG32*VE))))</f>
        <v/>
      </c>
      <c r="AM33" s="30" t="e">
        <f t="shared" ref="AM33" si="110">IF($AR$18=1,IF(AG33&lt;=RptYr,SUM(AR33:AU33),""),IF(AG33&lt;=RptYr,SUM(AR33:AU33)*VE,""))</f>
        <v>#REF!</v>
      </c>
      <c r="AN33" s="31" t="e">
        <f t="shared" ref="AN33" si="111">IF(AG33&lt;=RptYr,(AN32+IF(AL33="",0,AL33)),"")</f>
        <v>#REF!</v>
      </c>
      <c r="AO33" s="32" t="e">
        <f t="shared" ref="AO33" si="112">IF(AG33&lt;=RptYr,(AM33+AO32),"")</f>
        <v>#REF!</v>
      </c>
      <c r="AP33" s="33" t="e">
        <f t="shared" ref="AP33" si="113">IF(AG33&lt;=RptYr,(AO33-AN33),"")</f>
        <v>#REF!</v>
      </c>
      <c r="AR33" s="24" t="e">
        <f t="array" ref="AR33">IF(LEN($AG33)&lt;4,"",IF(RptYr*4+RIGHT(RptQtr,1)&gt;=$AG33*4+RIGHT(AH$18,1),SUM((ProgYearDone=$AG33)*(ProgQuarter=AH$18)*ProgPrcntDone)+IF(AND(RptYr=$AG33,RptQtr=AH$18),[1]Calculations!$O$419),""))</f>
        <v>#REF!</v>
      </c>
      <c r="AS33" s="24" t="e">
        <f t="array" ref="AS33">IF(LEN($AG33)&lt;4,"",IF(RptYr*4+RIGHT(RptQtr,1)&gt;=$AG33*4+RIGHT(AI$18,1),SUM((ProgYearDone=$AG33)*(ProgQuarter=AI$18)*ProgPrcntDone)+IF(AND(RptYr=$AG33,RptQtr=AI$18),[1]Calculations!$O$419),""))</f>
        <v>#REF!</v>
      </c>
      <c r="AT33" s="24" t="e">
        <f t="array" ref="AT33">IF(LEN($AG33)&lt;4,"",IF(RptYr*4+RIGHT(RptQtr,1)&gt;=$AG33*4+RIGHT(AJ$18,1),SUM((ProgYearDone=$AG33)*(ProgQuarter=AJ$18)*ProgPrcntDone)+IF(AND(RptYr=$AG33,RptQtr=AJ$18),[1]Calculations!$O$419),""))</f>
        <v>#REF!</v>
      </c>
      <c r="AU33" s="24" t="e">
        <f t="array" ref="AU33">IF(LEN($AG33)&lt;4,"",IF(RptYr*4+RIGHT(RptQtr,1)&gt;=$AG33*4+RIGHT(AK$18,1),SUM((ProgYearDone=$AG33)*(ProgQuarter=AK$18)*ProgPrcntDone)+IF(AND(RptYr=$AG33,RptQtr=AK$18),[1]Calculations!$O$419),""))</f>
        <v>#REF!</v>
      </c>
      <c r="AV33" s="41">
        <f>[1]Planning!R33</f>
        <v>0</v>
      </c>
      <c r="AW33" s="42">
        <f>[1]Planning!R33</f>
        <v>0</v>
      </c>
      <c r="AX33" s="41">
        <f>[1]Planning!S33</f>
        <v>0</v>
      </c>
      <c r="AY33" s="42">
        <f>[1]Planning!S33</f>
        <v>0</v>
      </c>
      <c r="AZ33" s="41">
        <f>[1]Planning!T33</f>
        <v>0</v>
      </c>
      <c r="BA33" s="42">
        <f>[1]Planning!T33</f>
        <v>0</v>
      </c>
      <c r="BB33" s="41">
        <f>[1]Planning!U33</f>
        <v>0</v>
      </c>
      <c r="BC33" s="42">
        <f>[1]Planning!U33</f>
        <v>0</v>
      </c>
      <c r="BD33" s="41">
        <f>[1]Planning!V33</f>
        <v>0</v>
      </c>
      <c r="BE33" s="42">
        <f>[1]Planning!V33</f>
        <v>0</v>
      </c>
      <c r="BF33" s="41">
        <f>[1]Planning!W33</f>
        <v>0</v>
      </c>
      <c r="BG33" s="43">
        <f>[1]Planning!W33</f>
        <v>0</v>
      </c>
      <c r="BH33" s="283">
        <f>(BI32&amp;3)*1</f>
        <v>20183</v>
      </c>
      <c r="BI33" s="284"/>
      <c r="BJ33" s="286"/>
      <c r="BK33" s="265">
        <f>IF([1]Planning!AG$20="",,IF($AR$18=1,[1]Planning!AG$20*0.25,[1]Planning!AG$20*0.25*VE))</f>
        <v>277.61874999999998</v>
      </c>
      <c r="BL33" s="272">
        <f t="shared" si="72"/>
        <v>2992.6562500000005</v>
      </c>
      <c r="BM33" s="272" t="e">
        <f>AJ21</f>
        <v>#REF!</v>
      </c>
      <c r="BN33" s="273">
        <f t="shared" si="73"/>
        <v>0</v>
      </c>
      <c r="BO33" s="256"/>
      <c r="BP33" s="256"/>
      <c r="BQ33" s="256"/>
      <c r="BR33" s="256"/>
      <c r="BS33" s="256"/>
      <c r="BT33" s="256"/>
      <c r="BU33" s="256"/>
      <c r="BV33" s="256"/>
      <c r="BW33" s="256"/>
      <c r="BX33" s="256"/>
      <c r="BY33" s="256"/>
      <c r="BZ33" s="256"/>
      <c r="CA33" s="256"/>
      <c r="CB33" s="256"/>
      <c r="CC33" s="256"/>
    </row>
    <row r="34" spans="16:81" ht="12.75" customHeight="1" thickBot="1" x14ac:dyDescent="0.25">
      <c r="P34" s="38">
        <f>Planning!N34</f>
        <v>0</v>
      </c>
      <c r="Q34" s="39" t="str">
        <f>[1]Planning!Q34</f>
        <v/>
      </c>
      <c r="R34" s="40"/>
      <c r="S34" s="260"/>
      <c r="T34" s="40"/>
      <c r="U34" s="260"/>
      <c r="V34" s="40"/>
      <c r="W34" s="260"/>
      <c r="X34" s="40"/>
      <c r="Y34" s="260"/>
      <c r="Z34" s="40"/>
      <c r="AA34" s="260"/>
      <c r="AB34" s="40"/>
      <c r="AC34" s="260"/>
      <c r="AD34" s="2"/>
      <c r="AE34" s="28">
        <v>15</v>
      </c>
      <c r="AF34" s="23" t="s">
        <v>24</v>
      </c>
      <c r="AG34" s="258">
        <f>Year15</f>
        <v>2031</v>
      </c>
      <c r="AH34" s="24" t="e">
        <f t="shared" ref="AH34" si="114">IF(AR34="","",IF($AR$18=1,AR34,AR34*VE))</f>
        <v>#REF!</v>
      </c>
      <c r="AI34" s="24" t="e">
        <f t="shared" ref="AI34" si="115">IF(AS34="","",IF($AR$18=1,AS34,AS34*VE))</f>
        <v>#REF!</v>
      </c>
      <c r="AJ34" s="24" t="e">
        <f t="shared" ref="AJ34" si="116">IF(AT34="","",IF($AR$18=1,AT34,AT34*VE))</f>
        <v>#REF!</v>
      </c>
      <c r="AK34" s="24" t="e">
        <f t="shared" ref="AK34" si="117">IF(AU34="","",IF($AR$18=1,AU34,AU34*VE))</f>
        <v>#REF!</v>
      </c>
      <c r="AL34" s="29" t="str">
        <f>IF([1]Planning!AG33=0,"",IF($AR$18=1,IF(AG34&lt;RptYr,[1]Planning!AG33,IF(AG34=RptYr,VLOOKUP((RptYr),YearAndPrcntPlanned,28)*RIGHT(RptQtr)*0.25,[1]Planning!AG33)),IF(AG34&lt;RptYr,[1]Planning!AG33*VE,IF(AG34=RptYr,VLOOKUP((RptYr),YearAndPrcntPlanned,28)*RIGHT(RptQtr)*0.25*VE,[1]Planning!AG33*VE))))</f>
        <v/>
      </c>
      <c r="AM34" s="30" t="e">
        <f t="shared" ref="AM34" si="118">IF($AR$18=1,IF(AG34&lt;=RptYr,SUM(AR34:AU34),""),IF(AG34&lt;=RptYr,SUM(AR34:AU34)*VE,""))</f>
        <v>#REF!</v>
      </c>
      <c r="AN34" s="31" t="e">
        <f t="shared" ref="AN34" si="119">IF(AG34&lt;=RptYr,(AN33+IF(AL34="",0,AL34)),"")</f>
        <v>#REF!</v>
      </c>
      <c r="AO34" s="32" t="e">
        <f t="shared" ref="AO34" si="120">IF(AG34&lt;=RptYr,(AM34+AO33),"")</f>
        <v>#REF!</v>
      </c>
      <c r="AP34" s="33" t="e">
        <f t="shared" ref="AP34" si="121">IF(AG34&lt;=RptYr,(AO34-AN34),"")</f>
        <v>#REF!</v>
      </c>
      <c r="AR34" s="24" t="e">
        <f t="array" ref="AR34">IF(LEN($AG34)&lt;4,"",IF(RptYr*4+RIGHT(RptQtr,1)&gt;=$AG34*4+RIGHT(AH$18,1),SUM((ProgYearDone=$AG34)*(ProgQuarter=AH$18)*ProgPrcntDone)+IF(AND(RptYr=$AG34,RptQtr=AH$18),[1]Calculations!$O$419),""))</f>
        <v>#REF!</v>
      </c>
      <c r="AS34" s="24" t="e">
        <f t="array" ref="AS34">IF(LEN($AG34)&lt;4,"",IF(RptYr*4+RIGHT(RptQtr,1)&gt;=$AG34*4+RIGHT(AI$18,1),SUM((ProgYearDone=$AG34)*(ProgQuarter=AI$18)*ProgPrcntDone)+IF(AND(RptYr=$AG34,RptQtr=AI$18),[1]Calculations!$O$419),""))</f>
        <v>#REF!</v>
      </c>
      <c r="AT34" s="24" t="e">
        <f t="array" ref="AT34">IF(LEN($AG34)&lt;4,"",IF(RptYr*4+RIGHT(RptQtr,1)&gt;=$AG34*4+RIGHT(AJ$18,1),SUM((ProgYearDone=$AG34)*(ProgQuarter=AJ$18)*ProgPrcntDone)+IF(AND(RptYr=$AG34,RptQtr=AJ$18),[1]Calculations!$O$419),""))</f>
        <v>#REF!</v>
      </c>
      <c r="AU34" s="24" t="e">
        <f t="array" ref="AU34">IF(LEN($AG34)&lt;4,"",IF(RptYr*4+RIGHT(RptQtr,1)&gt;=$AG34*4+RIGHT(AK$18,1),SUM((ProgYearDone=$AG34)*(ProgQuarter=AK$18)*ProgPrcntDone)+IF(AND(RptYr=$AG34,RptQtr=AK$18),[1]Calculations!$O$419),""))</f>
        <v>#REF!</v>
      </c>
      <c r="AV34" s="41">
        <f>[1]Planning!R34</f>
        <v>0</v>
      </c>
      <c r="AW34" s="42">
        <f>[1]Planning!R34</f>
        <v>0</v>
      </c>
      <c r="AX34" s="41">
        <f>[1]Planning!S34</f>
        <v>0</v>
      </c>
      <c r="AY34" s="42">
        <f>[1]Planning!S34</f>
        <v>0</v>
      </c>
      <c r="AZ34" s="41">
        <f>[1]Planning!T34</f>
        <v>0</v>
      </c>
      <c r="BA34" s="42">
        <f>[1]Planning!T34</f>
        <v>0</v>
      </c>
      <c r="BB34" s="41">
        <f>[1]Planning!U34</f>
        <v>0</v>
      </c>
      <c r="BC34" s="42">
        <f>[1]Planning!U34</f>
        <v>0</v>
      </c>
      <c r="BD34" s="41">
        <f>[1]Planning!V34</f>
        <v>0</v>
      </c>
      <c r="BE34" s="42">
        <f>[1]Planning!V34</f>
        <v>0</v>
      </c>
      <c r="BF34" s="41">
        <f>[1]Planning!W34</f>
        <v>0</v>
      </c>
      <c r="BG34" s="43">
        <f>[1]Planning!W34</f>
        <v>0</v>
      </c>
      <c r="BH34" s="277">
        <f>(BI32&amp;4)*1</f>
        <v>20184</v>
      </c>
      <c r="BI34" s="285"/>
      <c r="BJ34" s="286"/>
      <c r="BK34" s="265">
        <f>IF([1]Planning!AG$20="",,IF($AR$18=1,[1]Planning!AG$20*0.25,[1]Planning!AG$20*0.25*VE))</f>
        <v>277.61874999999998</v>
      </c>
      <c r="BL34" s="272">
        <f t="shared" si="72"/>
        <v>3270.2750000000005</v>
      </c>
      <c r="BM34" s="272" t="e">
        <f>AK21</f>
        <v>#REF!</v>
      </c>
      <c r="BN34" s="273">
        <f t="shared" si="73"/>
        <v>0</v>
      </c>
      <c r="BO34" s="256"/>
      <c r="BP34" s="256"/>
      <c r="BQ34" s="256"/>
      <c r="BR34" s="256"/>
      <c r="BS34" s="256"/>
      <c r="BT34" s="256"/>
      <c r="BU34" s="256"/>
      <c r="BV34" s="256"/>
      <c r="BW34" s="256"/>
      <c r="BX34" s="256"/>
      <c r="BY34" s="256"/>
      <c r="BZ34" s="256"/>
      <c r="CA34" s="256"/>
      <c r="CB34" s="256"/>
      <c r="CC34" s="256"/>
    </row>
    <row r="35" spans="16:81" ht="12.75" customHeight="1" x14ac:dyDescent="0.2">
      <c r="P35" s="38">
        <f>Planning!N35</f>
        <v>0</v>
      </c>
      <c r="Q35" s="39" t="str">
        <f>[1]Planning!Q35</f>
        <v/>
      </c>
      <c r="R35" s="40"/>
      <c r="S35" s="260"/>
      <c r="T35" s="40"/>
      <c r="U35" s="260"/>
      <c r="V35" s="40"/>
      <c r="W35" s="260"/>
      <c r="X35" s="40"/>
      <c r="Y35" s="260"/>
      <c r="Z35" s="40"/>
      <c r="AA35" s="260"/>
      <c r="AB35" s="40"/>
      <c r="AC35" s="260"/>
      <c r="AD35" s="2"/>
      <c r="AE35" s="28">
        <v>16</v>
      </c>
      <c r="AF35" s="23" t="s">
        <v>24</v>
      </c>
      <c r="AG35" s="258">
        <f>Year16</f>
        <v>2032</v>
      </c>
      <c r="AH35" s="24" t="e">
        <f t="shared" ref="AH35" si="122">IF(AR35="","",IF($AR$18=1,AR35,AR35*VE))</f>
        <v>#REF!</v>
      </c>
      <c r="AI35" s="24" t="e">
        <f t="shared" ref="AI35" si="123">IF(AS35="","",IF($AR$18=1,AS35,AS35*VE))</f>
        <v>#REF!</v>
      </c>
      <c r="AJ35" s="24" t="e">
        <f t="shared" ref="AJ35" si="124">IF(AT35="","",IF($AR$18=1,AT35,AT35*VE))</f>
        <v>#REF!</v>
      </c>
      <c r="AK35" s="24" t="e">
        <f t="shared" ref="AK35" si="125">IF(AU35="","",IF($AR$18=1,AU35,AU35*VE))</f>
        <v>#REF!</v>
      </c>
      <c r="AL35" s="29" t="str">
        <f>IF([1]Planning!AG34=0,"",IF($AR$18=1,IF(AG35&lt;RptYr,[1]Planning!AG34,IF(AG35=RptYr,VLOOKUP((RptYr),YearAndPrcntPlanned,28)*RIGHT(RptQtr)*0.25,[1]Planning!AG34)),IF(AG35&lt;RptYr,[1]Planning!AG34*VE,IF(AG35=RptYr,VLOOKUP((RptYr),YearAndPrcntPlanned,28)*RIGHT(RptQtr)*0.25*VE,[1]Planning!AG34*VE))))</f>
        <v/>
      </c>
      <c r="AM35" s="30" t="e">
        <f t="shared" ref="AM35" si="126">IF($AR$18=1,IF(AG35&lt;=RptYr,SUM(AR35:AU35),""),IF(AG35&lt;=RptYr,SUM(AR35:AU35)*VE,""))</f>
        <v>#REF!</v>
      </c>
      <c r="AN35" s="31" t="e">
        <f t="shared" ref="AN35" si="127">IF(AG35&lt;=RptYr,(AN34+IF(AL35="",0,AL35)),"")</f>
        <v>#REF!</v>
      </c>
      <c r="AO35" s="32" t="e">
        <f t="shared" ref="AO35" si="128">IF(AG35&lt;=RptYr,(AM35+AO34),"")</f>
        <v>#REF!</v>
      </c>
      <c r="AP35" s="33" t="e">
        <f t="shared" ref="AP35" si="129">IF(AG35&lt;=RptYr,(AO35-AN35),"")</f>
        <v>#REF!</v>
      </c>
      <c r="AR35" s="24" t="e">
        <f t="array" ref="AR35">IF(LEN($AG35)&lt;4,"",IF(RptYr*4+RIGHT(RptQtr,1)&gt;=$AG35*4+RIGHT(AH$18,1),SUM((ProgYearDone=$AG35)*(ProgQuarter=AH$18)*ProgPrcntDone)+IF(AND(RptYr=$AG35,RptQtr=AH$18),[1]Calculations!$O$419),""))</f>
        <v>#REF!</v>
      </c>
      <c r="AS35" s="24" t="e">
        <f t="array" ref="AS35">IF(LEN($AG35)&lt;4,"",IF(RptYr*4+RIGHT(RptQtr,1)&gt;=$AG35*4+RIGHT(AI$18,1),SUM((ProgYearDone=$AG35)*(ProgQuarter=AI$18)*ProgPrcntDone)+IF(AND(RptYr=$AG35,RptQtr=AI$18),[1]Calculations!$O$419),""))</f>
        <v>#REF!</v>
      </c>
      <c r="AT35" s="24" t="e">
        <f t="array" ref="AT35">IF(LEN($AG35)&lt;4,"",IF(RptYr*4+RIGHT(RptQtr,1)&gt;=$AG35*4+RIGHT(AJ$18,1),SUM((ProgYearDone=$AG35)*(ProgQuarter=AJ$18)*ProgPrcntDone)+IF(AND(RptYr=$AG35,RptQtr=AJ$18),[1]Calculations!$O$419),""))</f>
        <v>#REF!</v>
      </c>
      <c r="AU35" s="24" t="e">
        <f t="array" ref="AU35">IF(LEN($AG35)&lt;4,"",IF(RptYr*4+RIGHT(RptQtr,1)&gt;=$AG35*4+RIGHT(AK$18,1),SUM((ProgYearDone=$AG35)*(ProgQuarter=AK$18)*ProgPrcntDone)+IF(AND(RptYr=$AG35,RptQtr=AK$18),[1]Calculations!$O$419),""))</f>
        <v>#REF!</v>
      </c>
      <c r="AV35" s="41">
        <f>[1]Planning!R35</f>
        <v>0</v>
      </c>
      <c r="AW35" s="42">
        <f>[1]Planning!R35</f>
        <v>0</v>
      </c>
      <c r="AX35" s="41">
        <f>[1]Planning!S35</f>
        <v>0</v>
      </c>
      <c r="AY35" s="42">
        <f>[1]Planning!S35</f>
        <v>0</v>
      </c>
      <c r="AZ35" s="41">
        <f>[1]Planning!T35</f>
        <v>0</v>
      </c>
      <c r="BA35" s="42">
        <f>[1]Planning!T35</f>
        <v>0</v>
      </c>
      <c r="BB35" s="41">
        <f>[1]Planning!U35</f>
        <v>0</v>
      </c>
      <c r="BC35" s="42">
        <f>[1]Planning!U35</f>
        <v>0</v>
      </c>
      <c r="BD35" s="41">
        <f>[1]Planning!V35</f>
        <v>0</v>
      </c>
      <c r="BE35" s="42">
        <f>[1]Planning!V35</f>
        <v>0</v>
      </c>
      <c r="BF35" s="41">
        <f>[1]Planning!W35</f>
        <v>0</v>
      </c>
      <c r="BG35" s="43">
        <f>[1]Planning!W35</f>
        <v>0</v>
      </c>
      <c r="BH35" s="279">
        <f>(BI36&amp;1)*1</f>
        <v>20191</v>
      </c>
      <c r="BI35" s="280"/>
      <c r="BJ35" s="286"/>
      <c r="BK35" s="265">
        <f>IF([1]Planning!AG$21="",,IF($AR$18=1,[1]Planning!AG$21*0.25,[1]Planning!AG$21*0.25*VE))</f>
        <v>138.65</v>
      </c>
      <c r="BL35" s="272">
        <f t="shared" si="72"/>
        <v>3408.9250000000006</v>
      </c>
      <c r="BM35" s="272" t="e">
        <f>AH22</f>
        <v>#REF!</v>
      </c>
      <c r="BN35" s="273">
        <f t="shared" si="73"/>
        <v>0</v>
      </c>
      <c r="BO35" s="256"/>
      <c r="BP35" s="256"/>
      <c r="BQ35" s="256"/>
      <c r="BR35" s="256"/>
      <c r="BS35" s="256"/>
      <c r="BT35" s="256"/>
      <c r="BU35" s="256"/>
      <c r="BV35" s="256"/>
      <c r="BW35" s="256"/>
      <c r="BX35" s="256"/>
      <c r="BY35" s="256"/>
      <c r="BZ35" s="256"/>
      <c r="CA35" s="256"/>
      <c r="CB35" s="256"/>
      <c r="CC35" s="256"/>
    </row>
    <row r="36" spans="16:81" ht="12.75" customHeight="1" x14ac:dyDescent="0.2">
      <c r="P36" s="38">
        <f>Planning!N36</f>
        <v>0</v>
      </c>
      <c r="Q36" s="39" t="str">
        <f>[1]Planning!Q36</f>
        <v/>
      </c>
      <c r="R36" s="40"/>
      <c r="S36" s="260"/>
      <c r="T36" s="40"/>
      <c r="U36" s="260"/>
      <c r="V36" s="40"/>
      <c r="W36" s="260"/>
      <c r="X36" s="40"/>
      <c r="Y36" s="260"/>
      <c r="Z36" s="40"/>
      <c r="AA36" s="260"/>
      <c r="AB36" s="40"/>
      <c r="AC36" s="260"/>
      <c r="AD36" s="2"/>
      <c r="AE36" s="28">
        <v>17</v>
      </c>
      <c r="AF36" s="23" t="s">
        <v>24</v>
      </c>
      <c r="AG36" s="258">
        <f>Year17</f>
        <v>2033</v>
      </c>
      <c r="AH36" s="24" t="e">
        <f t="shared" ref="AH36" si="130">IF(AR36="","",IF($AR$18=1,AR36,AR36*VE))</f>
        <v>#REF!</v>
      </c>
      <c r="AI36" s="24" t="e">
        <f t="shared" ref="AI36" si="131">IF(AS36="","",IF($AR$18=1,AS36,AS36*VE))</f>
        <v>#REF!</v>
      </c>
      <c r="AJ36" s="24" t="e">
        <f t="shared" ref="AJ36" si="132">IF(AT36="","",IF($AR$18=1,AT36,AT36*VE))</f>
        <v>#REF!</v>
      </c>
      <c r="AK36" s="24" t="e">
        <f t="shared" ref="AK36" si="133">IF(AU36="","",IF($AR$18=1,AU36,AU36*VE))</f>
        <v>#REF!</v>
      </c>
      <c r="AL36" s="29" t="str">
        <f>IF([1]Planning!AG35=0,"",IF($AR$18=1,IF(AG36&lt;RptYr,[1]Planning!AG35,IF(AG36=RptYr,VLOOKUP((RptYr),YearAndPrcntPlanned,28)*RIGHT(RptQtr)*0.25,[1]Planning!AG35)),IF(AG36&lt;RptYr,[1]Planning!AG35*VE,IF(AG36=RptYr,VLOOKUP((RptYr),YearAndPrcntPlanned,28)*RIGHT(RptQtr)*0.25*VE,[1]Planning!AG35*VE))))</f>
        <v/>
      </c>
      <c r="AM36" s="30" t="e">
        <f t="shared" ref="AM36" si="134">IF($AR$18=1,IF(AG36&lt;=RptYr,SUM(AR36:AU36),""),IF(AG36&lt;=RptYr,SUM(AR36:AU36)*VE,""))</f>
        <v>#REF!</v>
      </c>
      <c r="AN36" s="31" t="e">
        <f t="shared" ref="AN36" si="135">IF(AG36&lt;=RptYr,(AN35+IF(AL36="",0,AL36)),"")</f>
        <v>#REF!</v>
      </c>
      <c r="AO36" s="32" t="e">
        <f t="shared" ref="AO36" si="136">IF(AG36&lt;=RptYr,(AM36+AO35),"")</f>
        <v>#REF!</v>
      </c>
      <c r="AP36" s="33" t="e">
        <f t="shared" ref="AP36" si="137">IF(AG36&lt;=RptYr,(AO36-AN36),"")</f>
        <v>#REF!</v>
      </c>
      <c r="AR36" s="24" t="e">
        <f t="array" ref="AR36">IF(LEN($AG36)&lt;4,"",IF(RptYr*4+RIGHT(RptQtr,1)&gt;=$AG36*4+RIGHT(AH$18,1),SUM((ProgYearDone=$AG36)*(ProgQuarter=AH$18)*ProgPrcntDone)+IF(AND(RptYr=$AG36,RptQtr=AH$18),[1]Calculations!$O$419),""))</f>
        <v>#REF!</v>
      </c>
      <c r="AS36" s="24" t="e">
        <f t="array" ref="AS36">IF(LEN($AG36)&lt;4,"",IF(RptYr*4+RIGHT(RptQtr,1)&gt;=$AG36*4+RIGHT(AI$18,1),SUM((ProgYearDone=$AG36)*(ProgQuarter=AI$18)*ProgPrcntDone)+IF(AND(RptYr=$AG36,RptQtr=AI$18),[1]Calculations!$O$419),""))</f>
        <v>#REF!</v>
      </c>
      <c r="AT36" s="24" t="e">
        <f t="array" ref="AT36">IF(LEN($AG36)&lt;4,"",IF(RptYr*4+RIGHT(RptQtr,1)&gt;=$AG36*4+RIGHT(AJ$18,1),SUM((ProgYearDone=$AG36)*(ProgQuarter=AJ$18)*ProgPrcntDone)+IF(AND(RptYr=$AG36,RptQtr=AJ$18),[1]Calculations!$O$419),""))</f>
        <v>#REF!</v>
      </c>
      <c r="AU36" s="24" t="e">
        <f t="array" ref="AU36">IF(LEN($AG36)&lt;4,"",IF(RptYr*4+RIGHT(RptQtr,1)&gt;=$AG36*4+RIGHT(AK$18,1),SUM((ProgYearDone=$AG36)*(ProgQuarter=AK$18)*ProgPrcntDone)+IF(AND(RptYr=$AG36,RptQtr=AK$18),[1]Calculations!$O$419),""))</f>
        <v>#REF!</v>
      </c>
      <c r="AV36" s="41">
        <f>[1]Planning!R36</f>
        <v>0</v>
      </c>
      <c r="AW36" s="42">
        <f>[1]Planning!R36</f>
        <v>0</v>
      </c>
      <c r="AX36" s="41">
        <f>[1]Planning!S36</f>
        <v>0</v>
      </c>
      <c r="AY36" s="42">
        <f>[1]Planning!S36</f>
        <v>0</v>
      </c>
      <c r="AZ36" s="41">
        <f>[1]Planning!T36</f>
        <v>0</v>
      </c>
      <c r="BA36" s="42">
        <f>[1]Planning!T36</f>
        <v>0</v>
      </c>
      <c r="BB36" s="41">
        <f>[1]Planning!U36</f>
        <v>0</v>
      </c>
      <c r="BC36" s="42">
        <f>[1]Planning!U36</f>
        <v>0</v>
      </c>
      <c r="BD36" s="41">
        <f>[1]Planning!V36</f>
        <v>0</v>
      </c>
      <c r="BE36" s="42">
        <f>[1]Planning!V36</f>
        <v>0</v>
      </c>
      <c r="BF36" s="41">
        <f>[1]Planning!W36</f>
        <v>0</v>
      </c>
      <c r="BG36" s="43">
        <f>[1]Planning!W36</f>
        <v>0</v>
      </c>
      <c r="BH36" s="283">
        <f>(BI36&amp;2)*1</f>
        <v>20192</v>
      </c>
      <c r="BI36" s="284">
        <f>Year3</f>
        <v>2019</v>
      </c>
      <c r="BJ36" s="286"/>
      <c r="BK36" s="265">
        <f>IF([1]Planning!AG$21="",,IF($AR$18=1,[1]Planning!AG$21*0.25,[1]Planning!AG$21*0.25*VE))</f>
        <v>138.65</v>
      </c>
      <c r="BL36" s="272">
        <f t="shared" si="72"/>
        <v>3547.5750000000007</v>
      </c>
      <c r="BM36" s="272" t="e">
        <f>AI22</f>
        <v>#REF!</v>
      </c>
      <c r="BN36" s="273">
        <f t="shared" si="73"/>
        <v>0</v>
      </c>
      <c r="BO36" s="256"/>
      <c r="BP36" s="256"/>
      <c r="BQ36" s="256"/>
      <c r="BR36" s="256"/>
      <c r="BS36" s="256"/>
      <c r="BT36" s="256"/>
      <c r="BU36" s="256"/>
      <c r="BV36" s="256"/>
      <c r="BW36" s="256"/>
      <c r="BX36" s="256"/>
      <c r="BY36" s="256"/>
      <c r="BZ36" s="256"/>
      <c r="CA36" s="256"/>
      <c r="CB36" s="256"/>
      <c r="CC36" s="256"/>
    </row>
    <row r="37" spans="16:81" ht="12.75" customHeight="1" x14ac:dyDescent="0.2">
      <c r="P37" s="38">
        <f>Planning!N37</f>
        <v>0</v>
      </c>
      <c r="Q37" s="39" t="str">
        <f>[1]Planning!Q37</f>
        <v/>
      </c>
      <c r="R37" s="40"/>
      <c r="S37" s="260"/>
      <c r="T37" s="40"/>
      <c r="U37" s="260"/>
      <c r="V37" s="40"/>
      <c r="W37" s="260"/>
      <c r="X37" s="40"/>
      <c r="Y37" s="260"/>
      <c r="Z37" s="40"/>
      <c r="AA37" s="260"/>
      <c r="AB37" s="40"/>
      <c r="AC37" s="260"/>
      <c r="AD37" s="2"/>
      <c r="AE37" s="28">
        <v>18</v>
      </c>
      <c r="AF37" s="23" t="s">
        <v>24</v>
      </c>
      <c r="AG37" s="258">
        <f>Year18</f>
        <v>2034</v>
      </c>
      <c r="AH37" s="24" t="e">
        <f t="shared" ref="AH37" si="138">IF(AR37="","",IF($AR$18=1,AR37,AR37*VE))</f>
        <v>#REF!</v>
      </c>
      <c r="AI37" s="24" t="e">
        <f t="shared" ref="AI37" si="139">IF(AS37="","",IF($AR$18=1,AS37,AS37*VE))</f>
        <v>#REF!</v>
      </c>
      <c r="AJ37" s="24" t="e">
        <f t="shared" ref="AJ37" si="140">IF(AT37="","",IF($AR$18=1,AT37,AT37*VE))</f>
        <v>#REF!</v>
      </c>
      <c r="AK37" s="24" t="e">
        <f t="shared" ref="AK37" si="141">IF(AU37="","",IF($AR$18=1,AU37,AU37*VE))</f>
        <v>#REF!</v>
      </c>
      <c r="AL37" s="29" t="str">
        <f>IF([1]Planning!AG36=0,"",IF($AR$18=1,IF(AG37&lt;RptYr,[1]Planning!AG36,IF(AG37=RptYr,VLOOKUP((RptYr),YearAndPrcntPlanned,28)*RIGHT(RptQtr)*0.25,[1]Planning!AG36)),IF(AG37&lt;RptYr,[1]Planning!AG36*VE,IF(AG37=RptYr,VLOOKUP((RptYr),YearAndPrcntPlanned,28)*RIGHT(RptQtr)*0.25*VE,[1]Planning!AG36*VE))))</f>
        <v/>
      </c>
      <c r="AM37" s="30" t="e">
        <f t="shared" ref="AM37" si="142">IF($AR$18=1,IF(AG37&lt;=RptYr,SUM(AR37:AU37),""),IF(AG37&lt;=RptYr,SUM(AR37:AU37)*VE,""))</f>
        <v>#REF!</v>
      </c>
      <c r="AN37" s="31" t="e">
        <f t="shared" ref="AN37" si="143">IF(AG37&lt;=RptYr,(AN36+IF(AL37="",0,AL37)),"")</f>
        <v>#REF!</v>
      </c>
      <c r="AO37" s="32" t="e">
        <f t="shared" ref="AO37" si="144">IF(AG37&lt;=RptYr,(AM37+AO36),"")</f>
        <v>#REF!</v>
      </c>
      <c r="AP37" s="33" t="e">
        <f t="shared" ref="AP37" si="145">IF(AG37&lt;=RptYr,(AO37-AN37),"")</f>
        <v>#REF!</v>
      </c>
      <c r="AR37" s="24" t="e">
        <f t="array" ref="AR37">IF(LEN($AG37)&lt;4,"",IF(RptYr*4+RIGHT(RptQtr,1)&gt;=$AG37*4+RIGHT(AH$18,1),SUM((ProgYearDone=$AG37)*(ProgQuarter=AH$18)*ProgPrcntDone)+IF(AND(RptYr=$AG37,RptQtr=AH$18),[1]Calculations!$O$419),""))</f>
        <v>#REF!</v>
      </c>
      <c r="AS37" s="24" t="e">
        <f t="array" ref="AS37">IF(LEN($AG37)&lt;4,"",IF(RptYr*4+RIGHT(RptQtr,1)&gt;=$AG37*4+RIGHT(AI$18,1),SUM((ProgYearDone=$AG37)*(ProgQuarter=AI$18)*ProgPrcntDone)+IF(AND(RptYr=$AG37,RptQtr=AI$18),[1]Calculations!$O$419),""))</f>
        <v>#REF!</v>
      </c>
      <c r="AT37" s="24" t="e">
        <f t="array" ref="AT37">IF(LEN($AG37)&lt;4,"",IF(RptYr*4+RIGHT(RptQtr,1)&gt;=$AG37*4+RIGHT(AJ$18,1),SUM((ProgYearDone=$AG37)*(ProgQuarter=AJ$18)*ProgPrcntDone)+IF(AND(RptYr=$AG37,RptQtr=AJ$18),[1]Calculations!$O$419),""))</f>
        <v>#REF!</v>
      </c>
      <c r="AU37" s="24" t="e">
        <f t="array" ref="AU37">IF(LEN($AG37)&lt;4,"",IF(RptYr*4+RIGHT(RptQtr,1)&gt;=$AG37*4+RIGHT(AK$18,1),SUM((ProgYearDone=$AG37)*(ProgQuarter=AK$18)*ProgPrcntDone)+IF(AND(RptYr=$AG37,RptQtr=AK$18),[1]Calculations!$O$419),""))</f>
        <v>#REF!</v>
      </c>
      <c r="AV37" s="41">
        <f>[1]Planning!R37</f>
        <v>0</v>
      </c>
      <c r="AW37" s="42">
        <f>[1]Planning!R37</f>
        <v>0</v>
      </c>
      <c r="AX37" s="41">
        <f>[1]Planning!S37</f>
        <v>0</v>
      </c>
      <c r="AY37" s="42">
        <f>[1]Planning!S37</f>
        <v>0</v>
      </c>
      <c r="AZ37" s="41">
        <f>[1]Planning!T37</f>
        <v>0</v>
      </c>
      <c r="BA37" s="42">
        <f>[1]Planning!T37</f>
        <v>0</v>
      </c>
      <c r="BB37" s="41">
        <f>[1]Planning!U37</f>
        <v>0</v>
      </c>
      <c r="BC37" s="42">
        <f>[1]Planning!U37</f>
        <v>0</v>
      </c>
      <c r="BD37" s="41">
        <f>[1]Planning!V37</f>
        <v>0</v>
      </c>
      <c r="BE37" s="42">
        <f>[1]Planning!V37</f>
        <v>0</v>
      </c>
      <c r="BF37" s="41">
        <f>[1]Planning!W37</f>
        <v>0</v>
      </c>
      <c r="BG37" s="43">
        <f>[1]Planning!W37</f>
        <v>0</v>
      </c>
      <c r="BH37" s="283">
        <f>(BI36&amp;3)*1</f>
        <v>20193</v>
      </c>
      <c r="BI37" s="284"/>
      <c r="BJ37" s="286"/>
      <c r="BK37" s="265">
        <f>IF([1]Planning!AG$21="",,IF($AR$18=1,[1]Planning!AG$21*0.25,[1]Planning!AG$21*0.25*VE))</f>
        <v>138.65</v>
      </c>
      <c r="BL37" s="272">
        <f t="shared" si="72"/>
        <v>3686.2250000000008</v>
      </c>
      <c r="BM37" s="272" t="e">
        <f>AJ22</f>
        <v>#REF!</v>
      </c>
      <c r="BN37" s="273">
        <f t="shared" si="73"/>
        <v>0</v>
      </c>
      <c r="BO37" s="256"/>
      <c r="BP37" s="256"/>
      <c r="BQ37" s="256"/>
      <c r="BR37" s="256"/>
      <c r="BS37" s="256"/>
      <c r="BT37" s="256"/>
      <c r="BU37" s="256"/>
      <c r="BV37" s="256"/>
      <c r="BW37" s="256"/>
      <c r="BX37" s="256"/>
      <c r="BY37" s="256"/>
      <c r="BZ37" s="256"/>
      <c r="CA37" s="256"/>
      <c r="CB37" s="256"/>
      <c r="CC37" s="256"/>
    </row>
    <row r="38" spans="16:81" ht="12.75" customHeight="1" thickBot="1" x14ac:dyDescent="0.25">
      <c r="P38" s="38" t="str">
        <f>Planning!N38</f>
        <v>Matthew</v>
      </c>
      <c r="Q38" s="39">
        <f>[1]Planning!Q38</f>
        <v>0</v>
      </c>
      <c r="R38" s="40"/>
      <c r="S38" s="260"/>
      <c r="T38" s="40"/>
      <c r="U38" s="260"/>
      <c r="V38" s="40"/>
      <c r="W38" s="260"/>
      <c r="X38" s="40"/>
      <c r="Y38" s="260"/>
      <c r="Z38" s="40"/>
      <c r="AA38" s="260"/>
      <c r="AB38" s="40"/>
      <c r="AC38" s="260"/>
      <c r="AD38" s="2"/>
      <c r="AE38" s="28">
        <v>19</v>
      </c>
      <c r="AF38" s="23" t="s">
        <v>24</v>
      </c>
      <c r="AG38" s="258">
        <f>Year19</f>
        <v>2035</v>
      </c>
      <c r="AH38" s="24" t="e">
        <f t="shared" ref="AH38" si="146">IF(AR38="","",IF($AR$18=1,AR38,AR38*VE))</f>
        <v>#REF!</v>
      </c>
      <c r="AI38" s="24" t="e">
        <f t="shared" ref="AI38" si="147">IF(AS38="","",IF($AR$18=1,AS38,AS38*VE))</f>
        <v>#REF!</v>
      </c>
      <c r="AJ38" s="24" t="e">
        <f t="shared" ref="AJ38" si="148">IF(AT38="","",IF($AR$18=1,AT38,AT38*VE))</f>
        <v>#REF!</v>
      </c>
      <c r="AK38" s="24" t="e">
        <f t="shared" ref="AK38" si="149">IF(AU38="","",IF($AR$18=1,AU38,AU38*VE))</f>
        <v>#REF!</v>
      </c>
      <c r="AL38" s="29" t="str">
        <f>IF([1]Planning!AG37=0,"",IF($AR$18=1,IF(AG38&lt;RptYr,[1]Planning!AG37,IF(AG38=RptYr,VLOOKUP((RptYr),YearAndPrcntPlanned,28)*RIGHT(RptQtr)*0.25,[1]Planning!AG37)),IF(AG38&lt;RptYr,[1]Planning!AG37*VE,IF(AG38=RptYr,VLOOKUP((RptYr),YearAndPrcntPlanned,28)*RIGHT(RptQtr)*0.25*VE,[1]Planning!AG37*VE))))</f>
        <v/>
      </c>
      <c r="AM38" s="30" t="e">
        <f t="shared" ref="AM38" si="150">IF($AR$18=1,IF(AG38&lt;=RptYr,SUM(AR38:AU38),""),IF(AG38&lt;=RptYr,SUM(AR38:AU38)*VE,""))</f>
        <v>#REF!</v>
      </c>
      <c r="AN38" s="31" t="e">
        <f t="shared" ref="AN38" si="151">IF(AG38&lt;=RptYr,(AN37+IF(AL38="",0,AL38)),"")</f>
        <v>#REF!</v>
      </c>
      <c r="AO38" s="32" t="e">
        <f t="shared" ref="AO38" si="152">IF(AG38&lt;=RptYr,(AM38+AO37),"")</f>
        <v>#REF!</v>
      </c>
      <c r="AP38" s="33" t="e">
        <f t="shared" ref="AP38" si="153">IF(AG38&lt;=RptYr,(AO38-AN38),"")</f>
        <v>#REF!</v>
      </c>
      <c r="AR38" s="24" t="e">
        <f t="array" ref="AR38">IF(LEN($AG38)&lt;4,"",IF(RptYr*4+RIGHT(RptQtr,1)&gt;=$AG38*4+RIGHT(AH$18,1),SUM((ProgYearDone=$AG38)*(ProgQuarter=AH$18)*ProgPrcntDone)+IF(AND(RptYr=$AG38,RptQtr=AH$18),[1]Calculations!$O$419),""))</f>
        <v>#REF!</v>
      </c>
      <c r="AS38" s="24" t="e">
        <f t="array" ref="AS38">IF(LEN($AG38)&lt;4,"",IF(RptYr*4+RIGHT(RptQtr,1)&gt;=$AG38*4+RIGHT(AI$18,1),SUM((ProgYearDone=$AG38)*(ProgQuarter=AI$18)*ProgPrcntDone)+IF(AND(RptYr=$AG38,RptQtr=AI$18),[1]Calculations!$O$419),""))</f>
        <v>#REF!</v>
      </c>
      <c r="AT38" s="24" t="e">
        <f t="array" ref="AT38">IF(LEN($AG38)&lt;4,"",IF(RptYr*4+RIGHT(RptQtr,1)&gt;=$AG38*4+RIGHT(AJ$18,1),SUM((ProgYearDone=$AG38)*(ProgQuarter=AJ$18)*ProgPrcntDone)+IF(AND(RptYr=$AG38,RptQtr=AJ$18),[1]Calculations!$O$419),""))</f>
        <v>#REF!</v>
      </c>
      <c r="AU38" s="24" t="e">
        <f t="array" ref="AU38">IF(LEN($AG38)&lt;4,"",IF(RptYr*4+RIGHT(RptQtr,1)&gt;=$AG38*4+RIGHT(AK$18,1),SUM((ProgYearDone=$AG38)*(ProgQuarter=AK$18)*ProgPrcntDone)+IF(AND(RptYr=$AG38,RptQtr=AK$18),[1]Calculations!$O$419),""))</f>
        <v>#REF!</v>
      </c>
      <c r="AV38" s="41">
        <f>[1]Planning!R38</f>
        <v>0</v>
      </c>
      <c r="AW38" s="42">
        <f>[1]Planning!R38</f>
        <v>0</v>
      </c>
      <c r="AX38" s="41">
        <f>[1]Planning!S38</f>
        <v>0</v>
      </c>
      <c r="AY38" s="42">
        <f>[1]Planning!S38</f>
        <v>0</v>
      </c>
      <c r="AZ38" s="41">
        <f>[1]Planning!T38</f>
        <v>0</v>
      </c>
      <c r="BA38" s="42">
        <f>[1]Planning!T38</f>
        <v>0</v>
      </c>
      <c r="BB38" s="41">
        <f>[1]Planning!U38</f>
        <v>0</v>
      </c>
      <c r="BC38" s="42">
        <f>[1]Planning!U38</f>
        <v>0</v>
      </c>
      <c r="BD38" s="41">
        <f>[1]Planning!V38</f>
        <v>0</v>
      </c>
      <c r="BE38" s="42">
        <f>[1]Planning!V38</f>
        <v>0</v>
      </c>
      <c r="BF38" s="41">
        <f>[1]Planning!W38</f>
        <v>0</v>
      </c>
      <c r="BG38" s="43">
        <f>[1]Planning!W38</f>
        <v>0</v>
      </c>
      <c r="BH38" s="277">
        <f>(BI36&amp;4)*1</f>
        <v>20194</v>
      </c>
      <c r="BI38" s="285"/>
      <c r="BJ38" s="286"/>
      <c r="BK38" s="265">
        <f>IF([1]Planning!AG$21="",,IF($AR$18=1,[1]Planning!AG$21*0.25,[1]Planning!AG$21*0.25*VE))</f>
        <v>138.65</v>
      </c>
      <c r="BL38" s="272">
        <f t="shared" si="72"/>
        <v>3824.8750000000009</v>
      </c>
      <c r="BM38" s="272" t="e">
        <f>AK22</f>
        <v>#REF!</v>
      </c>
      <c r="BN38" s="273">
        <f t="shared" si="73"/>
        <v>0</v>
      </c>
      <c r="BO38" s="256"/>
      <c r="BP38" s="256"/>
      <c r="BQ38" s="256"/>
      <c r="BR38" s="256"/>
      <c r="BS38" s="256"/>
      <c r="BT38" s="256"/>
      <c r="BU38" s="256"/>
      <c r="BV38" s="256"/>
      <c r="BW38" s="256"/>
      <c r="BX38" s="256"/>
      <c r="BY38" s="256"/>
      <c r="BZ38" s="256"/>
      <c r="CA38" s="256"/>
      <c r="CB38" s="256"/>
      <c r="CC38" s="256"/>
    </row>
    <row r="39" spans="16:81" ht="12.75" customHeight="1" thickBot="1" x14ac:dyDescent="0.25">
      <c r="P39" s="38" t="str">
        <f>Planning!N39</f>
        <v>Mark</v>
      </c>
      <c r="Q39" s="39">
        <f>[1]Planning!Q39</f>
        <v>678</v>
      </c>
      <c r="R39" s="40" t="s">
        <v>3</v>
      </c>
      <c r="S39" s="260">
        <v>2016</v>
      </c>
      <c r="T39" s="40" t="s">
        <v>3</v>
      </c>
      <c r="U39" s="260">
        <v>2016</v>
      </c>
      <c r="V39" s="40" t="s">
        <v>3</v>
      </c>
      <c r="W39" s="260">
        <v>2016</v>
      </c>
      <c r="X39" s="40" t="s">
        <v>3</v>
      </c>
      <c r="Y39" s="260">
        <v>2016</v>
      </c>
      <c r="Z39" s="40" t="s">
        <v>3</v>
      </c>
      <c r="AA39" s="260">
        <v>2016</v>
      </c>
      <c r="AB39" s="40" t="s">
        <v>7</v>
      </c>
      <c r="AC39" s="260">
        <v>2017</v>
      </c>
      <c r="AD39" s="2"/>
      <c r="AE39" s="57">
        <v>20</v>
      </c>
      <c r="AF39" s="58" t="s">
        <v>24</v>
      </c>
      <c r="AG39" s="287">
        <f>Year20</f>
        <v>2036</v>
      </c>
      <c r="AH39" s="24" t="e">
        <f t="shared" ref="AH39" si="154">IF(AR39="","",IF($AR$18=1,AR39,AR39*VE))</f>
        <v>#REF!</v>
      </c>
      <c r="AI39" s="24" t="e">
        <f t="shared" ref="AI39" si="155">IF(AS39="","",IF($AR$18=1,AS39,AS39*VE))</f>
        <v>#REF!</v>
      </c>
      <c r="AJ39" s="24" t="e">
        <f t="shared" ref="AJ39" si="156">IF(AT39="","",IF($AR$18=1,AT39,AT39*VE))</f>
        <v>#REF!</v>
      </c>
      <c r="AK39" s="24" t="e">
        <f t="shared" ref="AK39" si="157">IF(AU39="","",IF($AR$18=1,AU39,AU39*VE))</f>
        <v>#REF!</v>
      </c>
      <c r="AL39" s="59" t="str">
        <f>IF([1]Planning!AG38=0,"",IF($AR$18=1,IF(AG39&lt;RptYr,[1]Planning!AG38,IF(AG39=RptYr,VLOOKUP((RptYr),YearAndPrcntPlanned,28)*RIGHT(RptQtr)*0.25,[1]Planning!AG38)),IF(AG39&lt;RptYr,[1]Planning!AG38*VE,IF(AG39=RptYr,VLOOKUP((RptYr),YearAndPrcntPlanned,28)*RIGHT(RptQtr)*0.25*VE,[1]Planning!AG38*VE))))</f>
        <v/>
      </c>
      <c r="AM39" s="60" t="e">
        <f t="shared" ref="AM39" si="158">IF($AR$18=1,IF(AG39&lt;=RptYr,SUM(AR39:AU39),""),IF(AG39&lt;=RptYr,SUM(AR39:AU39)*VE,""))</f>
        <v>#REF!</v>
      </c>
      <c r="AN39" s="61" t="e">
        <f t="shared" ref="AN39" si="159">IF(AG39&lt;=RptYr,(AN38+IF(AL39="",0,AL39)),"")</f>
        <v>#REF!</v>
      </c>
      <c r="AO39" s="62" t="e">
        <f t="shared" ref="AO39" si="160">IF(AG39&lt;=RptYr,(AM39+AO38),"")</f>
        <v>#REF!</v>
      </c>
      <c r="AP39" s="63" t="e">
        <f t="shared" ref="AP39" si="161">IF(AG39&lt;=RptYr,(AO39-AN39),"")</f>
        <v>#REF!</v>
      </c>
      <c r="AR39" s="24" t="e">
        <f t="array" ref="AR39">IF(LEN($AG39)&lt;4,"",IF(RptYr*4+RIGHT(RptQtr,1)&gt;=$AG39*4+RIGHT(AH$18,1),SUM((ProgYearDone=$AG39)*(ProgQuarter=AH$18)*ProgPrcntDone)+IF(AND(RptYr=$AG39,RptQtr=AH$18),[1]Calculations!$O$419),""))</f>
        <v>#REF!</v>
      </c>
      <c r="AS39" s="24" t="e">
        <f t="array" ref="AS39">IF(LEN($AG39)&lt;4,"",IF(RptYr*4+RIGHT(RptQtr,1)&gt;=$AG39*4+RIGHT(AI$18,1),SUM((ProgYearDone=$AG39)*(ProgQuarter=AI$18)*ProgPrcntDone)+IF(AND(RptYr=$AG39,RptQtr=AI$18),[1]Calculations!$O$419),""))</f>
        <v>#REF!</v>
      </c>
      <c r="AT39" s="24" t="e">
        <f t="array" ref="AT39">IF(LEN($AG39)&lt;4,"",IF(RptYr*4+RIGHT(RptQtr,1)&gt;=$AG39*4+RIGHT(AJ$18,1),SUM((ProgYearDone=$AG39)*(ProgQuarter=AJ$18)*ProgPrcntDone)+IF(AND(RptYr=$AG39,RptQtr=AJ$18),[1]Calculations!$O$419),""))</f>
        <v>#REF!</v>
      </c>
      <c r="AU39" s="24" t="e">
        <f t="array" ref="AU39">IF(LEN($AG39)&lt;4,"",IF(RptYr*4+RIGHT(RptQtr,1)&gt;=$AG39*4+RIGHT(AK$18,1),SUM((ProgYearDone=$AG39)*(ProgQuarter=AK$18)*ProgPrcntDone)+IF(AND(RptYr=$AG39,RptQtr=AK$18),[1]Calculations!$O$419),""))</f>
        <v>#REF!</v>
      </c>
      <c r="AV39" s="41">
        <f>[1]Planning!R39</f>
        <v>2016</v>
      </c>
      <c r="AW39" s="42">
        <f>[1]Planning!R39</f>
        <v>2016</v>
      </c>
      <c r="AX39" s="41">
        <f>[1]Planning!S39</f>
        <v>2016</v>
      </c>
      <c r="AY39" s="42">
        <f>[1]Planning!S39</f>
        <v>2016</v>
      </c>
      <c r="AZ39" s="41">
        <f>[1]Planning!T39</f>
        <v>2016</v>
      </c>
      <c r="BA39" s="42">
        <f>[1]Planning!T39</f>
        <v>2016</v>
      </c>
      <c r="BB39" s="41">
        <f>[1]Planning!U39</f>
        <v>2016</v>
      </c>
      <c r="BC39" s="42">
        <f>[1]Planning!U39</f>
        <v>2016</v>
      </c>
      <c r="BD39" s="41">
        <f>[1]Planning!V39</f>
        <v>2016</v>
      </c>
      <c r="BE39" s="42">
        <f>[1]Planning!V39</f>
        <v>2016</v>
      </c>
      <c r="BF39" s="41">
        <f>[1]Planning!W39</f>
        <v>2017</v>
      </c>
      <c r="BG39" s="43">
        <f>[1]Planning!W39</f>
        <v>2017</v>
      </c>
      <c r="BH39" s="279">
        <f>(BI40&amp;1)*1</f>
        <v>20201</v>
      </c>
      <c r="BI39" s="280"/>
      <c r="BJ39" s="286"/>
      <c r="BK39" s="265">
        <f>IF([1]Planning!AG$22="",,IF($AR$18=1,[1]Planning!AG$22*0.25,[1]Planning!AG$22*0.25*VE))</f>
        <v>0</v>
      </c>
      <c r="BL39" s="272">
        <f t="shared" si="72"/>
        <v>3824.8750000000009</v>
      </c>
      <c r="BM39" s="272" t="e">
        <f>AH23</f>
        <v>#REF!</v>
      </c>
      <c r="BN39" s="273">
        <f t="shared" si="73"/>
        <v>0</v>
      </c>
      <c r="BO39" s="256"/>
      <c r="BP39" s="256"/>
      <c r="BQ39" s="256"/>
      <c r="BR39" s="256"/>
      <c r="BS39" s="256"/>
      <c r="BT39" s="256"/>
      <c r="BU39" s="256"/>
      <c r="BV39" s="256"/>
      <c r="BW39" s="256"/>
      <c r="BX39" s="256"/>
      <c r="BY39" s="256"/>
      <c r="BZ39" s="256"/>
      <c r="CA39" s="256"/>
      <c r="CB39" s="256"/>
      <c r="CC39" s="256"/>
    </row>
    <row r="40" spans="16:81" ht="12.75" customHeight="1" thickBot="1" x14ac:dyDescent="0.25">
      <c r="P40" s="38" t="str">
        <f>Planning!N40</f>
        <v>Luke</v>
      </c>
      <c r="Q40" s="39">
        <f>[1]Planning!Q40</f>
        <v>1151</v>
      </c>
      <c r="R40" s="40" t="s">
        <v>6</v>
      </c>
      <c r="S40" s="260">
        <v>2017</v>
      </c>
      <c r="T40" s="40" t="s">
        <v>7</v>
      </c>
      <c r="U40" s="260">
        <v>2018</v>
      </c>
      <c r="V40" s="40" t="s">
        <v>7</v>
      </c>
      <c r="W40" s="260">
        <v>2018</v>
      </c>
      <c r="X40" s="40" t="s">
        <v>5</v>
      </c>
      <c r="Y40" s="260">
        <v>2019</v>
      </c>
      <c r="Z40" s="40" t="s">
        <v>6</v>
      </c>
      <c r="AA40" s="260">
        <v>2019</v>
      </c>
      <c r="AB40" s="40"/>
      <c r="AC40" s="260"/>
      <c r="AD40" s="2"/>
      <c r="AF40" s="288">
        <f>[1]Planning!K40</f>
        <v>43703.224999999999</v>
      </c>
      <c r="AG40" s="600" t="s">
        <v>50</v>
      </c>
      <c r="AH40" s="601"/>
      <c r="AI40" s="601"/>
      <c r="AJ40" s="602"/>
      <c r="AK40" s="603"/>
      <c r="AL40" s="604" t="s">
        <v>51</v>
      </c>
      <c r="AM40" s="605"/>
      <c r="AN40" s="606"/>
      <c r="AO40" s="64" t="e">
        <f>MAX(AO19:AO39)</f>
        <v>#REF!</v>
      </c>
      <c r="AR40" s="244"/>
      <c r="AS40" s="244"/>
      <c r="AT40" s="244"/>
      <c r="AV40" s="41">
        <f>[1]Planning!R40</f>
        <v>2017</v>
      </c>
      <c r="AW40" s="42">
        <f>[1]Planning!R40</f>
        <v>2017</v>
      </c>
      <c r="AX40" s="41">
        <f>[1]Planning!S40</f>
        <v>2017</v>
      </c>
      <c r="AY40" s="42">
        <f>[1]Planning!S40</f>
        <v>2017</v>
      </c>
      <c r="AZ40" s="41">
        <f>[1]Planning!T40</f>
        <v>2018</v>
      </c>
      <c r="BA40" s="42">
        <f>[1]Planning!T40</f>
        <v>2018</v>
      </c>
      <c r="BB40" s="41">
        <f>[1]Planning!U40</f>
        <v>2018</v>
      </c>
      <c r="BC40" s="42">
        <f>[1]Planning!U40</f>
        <v>2018</v>
      </c>
      <c r="BD40" s="41">
        <f>[1]Planning!V40</f>
        <v>2018</v>
      </c>
      <c r="BE40" s="42">
        <f>[1]Planning!V40</f>
        <v>2018</v>
      </c>
      <c r="BF40" s="41">
        <f>[1]Planning!W40</f>
        <v>2019</v>
      </c>
      <c r="BG40" s="43">
        <f>[1]Planning!W40</f>
        <v>2019</v>
      </c>
      <c r="BH40" s="283">
        <f>(BI40&amp;2)*1</f>
        <v>20202</v>
      </c>
      <c r="BI40" s="284">
        <f>Year4</f>
        <v>2020</v>
      </c>
      <c r="BJ40" s="286"/>
      <c r="BK40" s="265">
        <f>IF([1]Planning!AG$22="",,IF($AR$18=1,[1]Planning!AG$22*0.25,[1]Planning!AG$22*0.25*VE))</f>
        <v>0</v>
      </c>
      <c r="BL40" s="272">
        <f t="shared" si="72"/>
        <v>3824.8750000000009</v>
      </c>
      <c r="BM40" s="272" t="e">
        <f>AI23</f>
        <v>#REF!</v>
      </c>
      <c r="BN40" s="273">
        <f t="shared" si="73"/>
        <v>0</v>
      </c>
      <c r="BO40" s="256"/>
      <c r="BP40" s="256"/>
      <c r="BQ40" s="256"/>
      <c r="BR40" s="256"/>
      <c r="BS40" s="256"/>
      <c r="BT40" s="256"/>
      <c r="BU40" s="256"/>
      <c r="BV40" s="256"/>
      <c r="BW40" s="256"/>
      <c r="BX40" s="256"/>
      <c r="BY40" s="256"/>
      <c r="BZ40" s="256"/>
      <c r="CA40" s="256"/>
      <c r="CB40" s="256"/>
      <c r="CC40" s="256"/>
    </row>
    <row r="41" spans="16:81" ht="12.75" customHeight="1" thickBot="1" x14ac:dyDescent="0.25">
      <c r="P41" s="38" t="str">
        <f>Planning!N41</f>
        <v>John</v>
      </c>
      <c r="Q41" s="39">
        <f>[1]Planning!Q41</f>
        <v>879</v>
      </c>
      <c r="R41" s="40" t="s">
        <v>6</v>
      </c>
      <c r="S41" s="260">
        <v>2018</v>
      </c>
      <c r="T41" s="40">
        <v>0.75</v>
      </c>
      <c r="U41" s="260">
        <v>2018</v>
      </c>
      <c r="V41" s="40" t="s">
        <v>5</v>
      </c>
      <c r="W41" s="260">
        <v>2019</v>
      </c>
      <c r="X41" s="40" t="s">
        <v>3</v>
      </c>
      <c r="Y41" s="260">
        <v>2019</v>
      </c>
      <c r="Z41" s="40" t="s">
        <v>3</v>
      </c>
      <c r="AA41" s="260">
        <v>2019</v>
      </c>
      <c r="AB41" s="40"/>
      <c r="AC41" s="260"/>
      <c r="AD41" s="2"/>
      <c r="AF41" s="288" t="str">
        <f ca="1">IF(ISERROR(BH19),"",BH19)</f>
        <v/>
      </c>
      <c r="AG41" s="600" t="s">
        <v>52</v>
      </c>
      <c r="AH41" s="601"/>
      <c r="AI41" s="601"/>
      <c r="AJ41" s="602"/>
      <c r="AK41" s="603"/>
      <c r="AL41" s="604" t="s">
        <v>53</v>
      </c>
      <c r="AM41" s="607"/>
      <c r="AN41" s="608"/>
      <c r="AO41" s="64" t="str">
        <f ca="1">IF(ISERROR(SUM(OFFSET(BH27,MATCH(BH24,BH27:BH106,0)-8,5,8))),"",SUM(OFFSET(BH27,MATCH(BH24,BH27:BH106,0)-8,5,8))/8*4)</f>
        <v/>
      </c>
      <c r="AR41" s="244"/>
      <c r="AS41" s="244"/>
      <c r="AT41" s="244"/>
      <c r="AV41" s="41">
        <f>[1]Planning!R41</f>
        <v>2018</v>
      </c>
      <c r="AW41" s="42">
        <f>[1]Planning!R41</f>
        <v>2018</v>
      </c>
      <c r="AX41" s="41">
        <f>[1]Planning!S41</f>
        <v>2018</v>
      </c>
      <c r="AY41" s="42">
        <f>[1]Planning!S41</f>
        <v>2018</v>
      </c>
      <c r="AZ41" s="41">
        <f>[1]Planning!T41</f>
        <v>2019</v>
      </c>
      <c r="BA41" s="42">
        <f>[1]Planning!T41</f>
        <v>2019</v>
      </c>
      <c r="BB41" s="41">
        <f>[1]Planning!U41</f>
        <v>2019</v>
      </c>
      <c r="BC41" s="42">
        <f>[1]Planning!U41</f>
        <v>2019</v>
      </c>
      <c r="BD41" s="41">
        <f>[1]Planning!V41</f>
        <v>2019</v>
      </c>
      <c r="BE41" s="42">
        <f>[1]Planning!V41</f>
        <v>2019</v>
      </c>
      <c r="BF41" s="41">
        <f>[1]Planning!W41</f>
        <v>0</v>
      </c>
      <c r="BG41" s="43">
        <f>[1]Planning!W41</f>
        <v>0</v>
      </c>
      <c r="BH41" s="283">
        <f>(BI40&amp;3)*1</f>
        <v>20203</v>
      </c>
      <c r="BI41" s="284"/>
      <c r="BJ41" s="286"/>
      <c r="BK41" s="265">
        <f>IF([1]Planning!AG$22="",,IF($AR$18=1,[1]Planning!AG$22*0.25,[1]Planning!AG$22*0.25*VE))</f>
        <v>0</v>
      </c>
      <c r="BL41" s="272">
        <f t="shared" si="72"/>
        <v>3824.8750000000009</v>
      </c>
      <c r="BM41" s="272" t="e">
        <f>AJ23</f>
        <v>#REF!</v>
      </c>
      <c r="BN41" s="273">
        <f t="shared" si="73"/>
        <v>0</v>
      </c>
      <c r="BO41" s="256"/>
      <c r="BP41" s="256"/>
      <c r="BQ41" s="256"/>
      <c r="BR41" s="256"/>
      <c r="BS41" s="256"/>
      <c r="BT41" s="256"/>
      <c r="BU41" s="256"/>
      <c r="BV41" s="256"/>
      <c r="BW41" s="256"/>
      <c r="BX41" s="256"/>
      <c r="BY41" s="256"/>
      <c r="BZ41" s="256"/>
      <c r="CA41" s="256"/>
      <c r="CB41" s="256"/>
      <c r="CC41" s="256"/>
    </row>
    <row r="42" spans="16:81" ht="12.75" customHeight="1" thickBot="1" x14ac:dyDescent="0.25">
      <c r="P42" s="38" t="str">
        <f>Planning!N42</f>
        <v>Acts</v>
      </c>
      <c r="Q42" s="39">
        <f>[1]Planning!Q42</f>
        <v>1007</v>
      </c>
      <c r="R42" s="40" t="s">
        <v>3</v>
      </c>
      <c r="S42" s="260">
        <v>2016</v>
      </c>
      <c r="T42" s="40" t="s">
        <v>3</v>
      </c>
      <c r="U42" s="260">
        <v>2016</v>
      </c>
      <c r="V42" s="40" t="s">
        <v>6</v>
      </c>
      <c r="W42" s="260">
        <v>2017</v>
      </c>
      <c r="X42" s="40" t="s">
        <v>7</v>
      </c>
      <c r="Y42" s="260">
        <v>2017</v>
      </c>
      <c r="Z42" s="40" t="s">
        <v>3</v>
      </c>
      <c r="AA42" s="260">
        <v>2017</v>
      </c>
      <c r="AB42" s="40" t="s">
        <v>7</v>
      </c>
      <c r="AC42" s="260">
        <v>2018</v>
      </c>
      <c r="AD42" s="2"/>
      <c r="AF42" s="65"/>
      <c r="AJ42" s="244"/>
      <c r="AK42" s="244"/>
      <c r="AN42" s="247"/>
      <c r="AO42" s="247"/>
      <c r="AP42" s="244"/>
      <c r="AR42" s="244"/>
      <c r="AS42" s="244"/>
      <c r="AT42" s="244"/>
      <c r="AV42" s="41">
        <f>[1]Planning!R42</f>
        <v>2016</v>
      </c>
      <c r="AW42" s="42">
        <f>[1]Planning!R42</f>
        <v>2016</v>
      </c>
      <c r="AX42" s="41">
        <f>[1]Planning!S42</f>
        <v>2016</v>
      </c>
      <c r="AY42" s="42">
        <f>[1]Planning!S42</f>
        <v>2016</v>
      </c>
      <c r="AZ42" s="41">
        <f>[1]Planning!T42</f>
        <v>2017</v>
      </c>
      <c r="BA42" s="42">
        <f>[1]Planning!T42</f>
        <v>2017</v>
      </c>
      <c r="BB42" s="41">
        <f>[1]Planning!U42</f>
        <v>2017</v>
      </c>
      <c r="BC42" s="42">
        <f>[1]Planning!U42</f>
        <v>2017</v>
      </c>
      <c r="BD42" s="41">
        <f>[1]Planning!V42</f>
        <v>2017</v>
      </c>
      <c r="BE42" s="42">
        <f>[1]Planning!V42</f>
        <v>2017</v>
      </c>
      <c r="BF42" s="41">
        <f>[1]Planning!W42</f>
        <v>2018</v>
      </c>
      <c r="BG42" s="43">
        <f>[1]Planning!W42</f>
        <v>2018</v>
      </c>
      <c r="BH42" s="277">
        <f>(BI40&amp;4)*1</f>
        <v>20204</v>
      </c>
      <c r="BI42" s="285"/>
      <c r="BJ42" s="286"/>
      <c r="BK42" s="265">
        <f>IF([1]Planning!AG$22="",,IF($AR$18=1,[1]Planning!AG$22*0.25,[1]Planning!AG$22*0.25*VE))</f>
        <v>0</v>
      </c>
      <c r="BL42" s="272">
        <f t="shared" si="72"/>
        <v>3824.8750000000009</v>
      </c>
      <c r="BM42" s="272" t="e">
        <f>AK23</f>
        <v>#REF!</v>
      </c>
      <c r="BN42" s="273">
        <f t="shared" si="73"/>
        <v>0</v>
      </c>
      <c r="BO42" s="256"/>
      <c r="BP42" s="256"/>
      <c r="BQ42" s="256"/>
      <c r="BR42" s="256"/>
      <c r="BS42" s="256"/>
      <c r="BT42" s="256"/>
      <c r="BU42" s="256"/>
      <c r="BV42" s="256"/>
      <c r="BW42" s="256"/>
      <c r="BX42" s="256"/>
      <c r="BY42" s="256"/>
      <c r="BZ42" s="256"/>
      <c r="CA42" s="256"/>
      <c r="CB42" s="256"/>
      <c r="CC42" s="256"/>
    </row>
    <row r="43" spans="16:81" ht="12.75" customHeight="1" x14ac:dyDescent="0.2">
      <c r="P43" s="38" t="str">
        <f>Planning!N43</f>
        <v>Romans</v>
      </c>
      <c r="Q43" s="39">
        <f>[1]Planning!Q43</f>
        <v>0</v>
      </c>
      <c r="R43" s="40"/>
      <c r="S43" s="260"/>
      <c r="T43" s="40"/>
      <c r="U43" s="260"/>
      <c r="V43" s="40"/>
      <c r="W43" s="260"/>
      <c r="X43" s="40"/>
      <c r="Y43" s="260"/>
      <c r="Z43" s="40"/>
      <c r="AA43" s="260"/>
      <c r="AB43" s="40"/>
      <c r="AC43" s="260"/>
      <c r="AD43" s="2"/>
      <c r="AE43" s="87"/>
      <c r="AF43" s="65"/>
      <c r="AJ43" s="244"/>
      <c r="AK43" s="244"/>
      <c r="AO43" s="244"/>
      <c r="AP43" s="244"/>
      <c r="AR43" s="244"/>
      <c r="AS43" s="244"/>
      <c r="AT43" s="244"/>
      <c r="AV43" s="41">
        <f>[1]Planning!R43</f>
        <v>0</v>
      </c>
      <c r="AW43" s="42">
        <f>[1]Planning!R43</f>
        <v>0</v>
      </c>
      <c r="AX43" s="41">
        <f>[1]Planning!S43</f>
        <v>0</v>
      </c>
      <c r="AY43" s="42">
        <f>[1]Planning!S43</f>
        <v>0</v>
      </c>
      <c r="AZ43" s="41">
        <f>[1]Planning!T43</f>
        <v>0</v>
      </c>
      <c r="BA43" s="42">
        <f>[1]Planning!T43</f>
        <v>0</v>
      </c>
      <c r="BB43" s="41">
        <f>[1]Planning!U43</f>
        <v>0</v>
      </c>
      <c r="BC43" s="42">
        <f>[1]Planning!U43</f>
        <v>0</v>
      </c>
      <c r="BD43" s="41">
        <f>[1]Planning!V43</f>
        <v>0</v>
      </c>
      <c r="BE43" s="42">
        <f>[1]Planning!V43</f>
        <v>0</v>
      </c>
      <c r="BF43" s="41">
        <f>[1]Planning!W43</f>
        <v>0</v>
      </c>
      <c r="BG43" s="43">
        <f>[1]Planning!W43</f>
        <v>0</v>
      </c>
      <c r="BH43" s="279">
        <f>(BI44&amp;1)*1</f>
        <v>20211</v>
      </c>
      <c r="BI43" s="280"/>
      <c r="BJ43" s="286"/>
      <c r="BK43" s="265">
        <f>IF([1]Planning!AG$23="",,IF($AR$18=1,[1]Planning!AG$23*0.25,[1]Planning!AG$23*0.25*VE))</f>
        <v>0</v>
      </c>
      <c r="BL43" s="272">
        <f t="shared" si="72"/>
        <v>3824.8750000000009</v>
      </c>
      <c r="BM43" s="272" t="e">
        <f>AH24</f>
        <v>#REF!</v>
      </c>
      <c r="BN43" s="273">
        <f t="shared" si="73"/>
        <v>0</v>
      </c>
      <c r="BO43" s="256"/>
      <c r="BP43" s="256"/>
      <c r="BQ43" s="256"/>
      <c r="BR43" s="256"/>
      <c r="BS43" s="256"/>
      <c r="BT43" s="256"/>
      <c r="BU43" s="256"/>
      <c r="BV43" s="256"/>
      <c r="BW43" s="256"/>
      <c r="BX43" s="256"/>
      <c r="BY43" s="256"/>
      <c r="BZ43" s="256"/>
      <c r="CA43" s="256"/>
      <c r="CB43" s="256"/>
      <c r="CC43" s="256"/>
    </row>
    <row r="44" spans="16:81" ht="12.75" customHeight="1" x14ac:dyDescent="0.2">
      <c r="P44" s="38" t="str">
        <f>Planning!N44</f>
        <v>I Corinthians</v>
      </c>
      <c r="Q44" s="39">
        <f>[1]Planning!Q44</f>
        <v>0</v>
      </c>
      <c r="R44" s="40" t="s">
        <v>6</v>
      </c>
      <c r="S44" s="260">
        <v>2020</v>
      </c>
      <c r="T44" s="40"/>
      <c r="U44" s="260"/>
      <c r="V44" s="40"/>
      <c r="W44" s="260"/>
      <c r="X44" s="40"/>
      <c r="Y44" s="260"/>
      <c r="Z44" s="40"/>
      <c r="AA44" s="260"/>
      <c r="AB44" s="40"/>
      <c r="AC44" s="260"/>
      <c r="AD44" s="2"/>
      <c r="AF44" s="1"/>
      <c r="AJ44" s="244"/>
      <c r="AK44" s="244"/>
      <c r="AO44" s="244"/>
      <c r="AP44" s="244"/>
      <c r="AR44" s="244"/>
      <c r="AS44" s="244"/>
      <c r="AT44" s="244"/>
      <c r="AV44" s="41">
        <f>[1]Planning!R44</f>
        <v>0</v>
      </c>
      <c r="AW44" s="42">
        <f>[1]Planning!R44</f>
        <v>0</v>
      </c>
      <c r="AX44" s="41">
        <f>[1]Planning!S44</f>
        <v>0</v>
      </c>
      <c r="AY44" s="42">
        <f>[1]Planning!S44</f>
        <v>0</v>
      </c>
      <c r="AZ44" s="41">
        <f>[1]Planning!T44</f>
        <v>0</v>
      </c>
      <c r="BA44" s="42">
        <f>[1]Planning!T44</f>
        <v>0</v>
      </c>
      <c r="BB44" s="41">
        <f>[1]Planning!U44</f>
        <v>0</v>
      </c>
      <c r="BC44" s="42">
        <f>[1]Planning!U44</f>
        <v>0</v>
      </c>
      <c r="BD44" s="41">
        <f>[1]Planning!V44</f>
        <v>0</v>
      </c>
      <c r="BE44" s="42">
        <f>[1]Planning!V44</f>
        <v>0</v>
      </c>
      <c r="BF44" s="41">
        <f>[1]Planning!W44</f>
        <v>0</v>
      </c>
      <c r="BG44" s="43">
        <f>[1]Planning!W44</f>
        <v>0</v>
      </c>
      <c r="BH44" s="283">
        <f>(BI44&amp;2)*1</f>
        <v>20212</v>
      </c>
      <c r="BI44" s="284">
        <f>Year5</f>
        <v>2021</v>
      </c>
      <c r="BJ44" s="286"/>
      <c r="BK44" s="265">
        <f>IF([1]Planning!AG$23="",,IF($AR$18=1,[1]Planning!AG$23*0.25,[1]Planning!AG$23*0.25*VE))</f>
        <v>0</v>
      </c>
      <c r="BL44" s="272">
        <f t="shared" si="72"/>
        <v>3824.8750000000009</v>
      </c>
      <c r="BM44" s="272" t="e">
        <f>AI24</f>
        <v>#REF!</v>
      </c>
      <c r="BN44" s="273">
        <f t="shared" si="73"/>
        <v>0</v>
      </c>
      <c r="BO44" s="256"/>
      <c r="BP44" s="256"/>
      <c r="BQ44" s="256"/>
      <c r="BR44" s="256"/>
      <c r="BS44" s="256"/>
      <c r="BT44" s="256"/>
      <c r="BU44" s="256"/>
      <c r="BV44" s="256"/>
      <c r="BW44" s="256"/>
      <c r="BX44" s="256"/>
      <c r="BY44" s="256"/>
      <c r="BZ44" s="256"/>
      <c r="CA44" s="256"/>
      <c r="CB44" s="256"/>
      <c r="CC44" s="256"/>
    </row>
    <row r="45" spans="16:81" ht="12.75" customHeight="1" x14ac:dyDescent="0.2">
      <c r="P45" s="38" t="str">
        <f>Planning!N45</f>
        <v>2 Corinthians</v>
      </c>
      <c r="Q45" s="39">
        <f>[1]Planning!Q45</f>
        <v>0</v>
      </c>
      <c r="R45" s="40"/>
      <c r="S45" s="260"/>
      <c r="T45" s="40" t="s">
        <v>6</v>
      </c>
      <c r="U45" s="260">
        <v>2020</v>
      </c>
      <c r="V45" s="40"/>
      <c r="W45" s="260"/>
      <c r="X45" s="40"/>
      <c r="Y45" s="260"/>
      <c r="Z45" s="40"/>
      <c r="AA45" s="260"/>
      <c r="AB45" s="40"/>
      <c r="AC45" s="260"/>
      <c r="AD45" s="2"/>
      <c r="AF45" s="1"/>
      <c r="AJ45" s="244"/>
      <c r="AK45" s="244"/>
      <c r="AO45" s="244"/>
      <c r="AP45" s="244"/>
      <c r="AR45" s="244"/>
      <c r="AS45" s="244"/>
      <c r="AT45" s="244"/>
      <c r="AV45" s="41">
        <f>[1]Planning!R45</f>
        <v>0</v>
      </c>
      <c r="AW45" s="42">
        <f>[1]Planning!R45</f>
        <v>0</v>
      </c>
      <c r="AX45" s="41">
        <f>[1]Planning!S45</f>
        <v>0</v>
      </c>
      <c r="AY45" s="42">
        <f>[1]Planning!S45</f>
        <v>0</v>
      </c>
      <c r="AZ45" s="41">
        <f>[1]Planning!T45</f>
        <v>0</v>
      </c>
      <c r="BA45" s="42">
        <f>[1]Planning!T45</f>
        <v>0</v>
      </c>
      <c r="BB45" s="41">
        <f>[1]Planning!U45</f>
        <v>0</v>
      </c>
      <c r="BC45" s="42">
        <f>[1]Planning!U45</f>
        <v>0</v>
      </c>
      <c r="BD45" s="41">
        <f>[1]Planning!V45</f>
        <v>0</v>
      </c>
      <c r="BE45" s="42">
        <f>[1]Planning!V45</f>
        <v>0</v>
      </c>
      <c r="BF45" s="41">
        <f>[1]Planning!W45</f>
        <v>0</v>
      </c>
      <c r="BG45" s="43">
        <f>[1]Planning!W45</f>
        <v>0</v>
      </c>
      <c r="BH45" s="283">
        <f>(BI44&amp;3)*1</f>
        <v>20213</v>
      </c>
      <c r="BI45" s="284"/>
      <c r="BJ45" s="286"/>
      <c r="BK45" s="265">
        <f>IF([1]Planning!AG$23="",,IF($AR$18=1,[1]Planning!AG$23*0.25,[1]Planning!AG$23*0.25*VE))</f>
        <v>0</v>
      </c>
      <c r="BL45" s="272">
        <f t="shared" si="72"/>
        <v>3824.8750000000009</v>
      </c>
      <c r="BM45" s="272" t="e">
        <f>AJ24</f>
        <v>#REF!</v>
      </c>
      <c r="BN45" s="273">
        <f t="shared" si="73"/>
        <v>0</v>
      </c>
      <c r="BO45" s="256"/>
      <c r="BP45" s="256"/>
      <c r="BQ45" s="256"/>
      <c r="BR45" s="256"/>
      <c r="BS45" s="256"/>
      <c r="BT45" s="256"/>
      <c r="BU45" s="256"/>
      <c r="BV45" s="256"/>
      <c r="BW45" s="256"/>
      <c r="BX45" s="256"/>
      <c r="BY45" s="256"/>
      <c r="BZ45" s="256"/>
      <c r="CA45" s="256"/>
      <c r="CB45" s="256"/>
      <c r="CC45" s="256"/>
    </row>
    <row r="46" spans="16:81" ht="12.75" customHeight="1" thickBot="1" x14ac:dyDescent="0.25">
      <c r="P46" s="38" t="str">
        <f>Planning!N46</f>
        <v>Galatians</v>
      </c>
      <c r="Q46" s="39">
        <f>[1]Planning!Q46</f>
        <v>0</v>
      </c>
      <c r="R46" s="40"/>
      <c r="S46" s="260"/>
      <c r="T46" s="40"/>
      <c r="U46" s="260"/>
      <c r="V46" s="40" t="s">
        <v>6</v>
      </c>
      <c r="W46" s="260">
        <v>2020</v>
      </c>
      <c r="X46" s="40"/>
      <c r="Y46" s="260"/>
      <c r="Z46" s="40"/>
      <c r="AA46" s="260"/>
      <c r="AB46" s="40"/>
      <c r="AC46" s="260"/>
      <c r="AD46" s="2"/>
      <c r="AE46" s="66"/>
      <c r="AF46" s="65"/>
      <c r="AJ46" s="244"/>
      <c r="AK46" s="244"/>
      <c r="AO46" s="244"/>
      <c r="AP46" s="244"/>
      <c r="AR46" s="244"/>
      <c r="AS46" s="244"/>
      <c r="AT46" s="244"/>
      <c r="AV46" s="41">
        <f>[1]Planning!R46</f>
        <v>0</v>
      </c>
      <c r="AW46" s="42">
        <f>[1]Planning!R46</f>
        <v>0</v>
      </c>
      <c r="AX46" s="41">
        <f>[1]Planning!S46</f>
        <v>0</v>
      </c>
      <c r="AY46" s="42">
        <f>[1]Planning!S46</f>
        <v>0</v>
      </c>
      <c r="AZ46" s="41">
        <f>[1]Planning!T46</f>
        <v>0</v>
      </c>
      <c r="BA46" s="42">
        <f>[1]Planning!T46</f>
        <v>0</v>
      </c>
      <c r="BB46" s="41">
        <f>[1]Planning!U46</f>
        <v>0</v>
      </c>
      <c r="BC46" s="42">
        <f>[1]Planning!U46</f>
        <v>0</v>
      </c>
      <c r="BD46" s="41">
        <f>[1]Planning!V46</f>
        <v>0</v>
      </c>
      <c r="BE46" s="42">
        <f>[1]Planning!V46</f>
        <v>0</v>
      </c>
      <c r="BF46" s="41">
        <f>[1]Planning!W46</f>
        <v>0</v>
      </c>
      <c r="BG46" s="43">
        <f>[1]Planning!W46</f>
        <v>0</v>
      </c>
      <c r="BH46" s="277">
        <f>(BI44&amp;4)*1</f>
        <v>20214</v>
      </c>
      <c r="BI46" s="285"/>
      <c r="BJ46" s="286"/>
      <c r="BK46" s="265">
        <f>IF([1]Planning!AG$23="",,IF($AR$18=1,[1]Planning!AG$23*0.25,[1]Planning!AG$23*0.25*VE))</f>
        <v>0</v>
      </c>
      <c r="BL46" s="272">
        <f t="shared" si="72"/>
        <v>3824.8750000000009</v>
      </c>
      <c r="BM46" s="272" t="e">
        <f>AK24</f>
        <v>#REF!</v>
      </c>
      <c r="BN46" s="273">
        <f t="shared" si="73"/>
        <v>0</v>
      </c>
      <c r="BO46" s="256"/>
      <c r="BP46" s="256"/>
      <c r="BQ46" s="256"/>
      <c r="BR46" s="256"/>
      <c r="BS46" s="256"/>
      <c r="BT46" s="256"/>
      <c r="BU46" s="256"/>
      <c r="BV46" s="256"/>
      <c r="BW46" s="256"/>
      <c r="BX46" s="256"/>
      <c r="BY46" s="256"/>
      <c r="BZ46" s="256"/>
      <c r="CA46" s="256"/>
      <c r="CB46" s="256"/>
      <c r="CC46" s="256"/>
    </row>
    <row r="47" spans="16:81" ht="12.75" customHeight="1" x14ac:dyDescent="0.2">
      <c r="P47" s="38" t="str">
        <f>Planning!N47</f>
        <v>Ephesians</v>
      </c>
      <c r="Q47" s="39">
        <f>[1]Planning!Q47</f>
        <v>0</v>
      </c>
      <c r="R47" s="40"/>
      <c r="S47" s="260"/>
      <c r="T47" s="40"/>
      <c r="U47" s="260"/>
      <c r="V47" s="40"/>
      <c r="W47" s="260"/>
      <c r="X47" s="40" t="s">
        <v>6</v>
      </c>
      <c r="Y47" s="260">
        <v>2020</v>
      </c>
      <c r="Z47" s="40"/>
      <c r="AA47" s="260"/>
      <c r="AB47" s="40"/>
      <c r="AC47" s="260"/>
      <c r="AD47" s="2"/>
      <c r="AF47" s="1"/>
      <c r="AJ47" s="244"/>
      <c r="AK47" s="244"/>
      <c r="AO47" s="244"/>
      <c r="AP47" s="244"/>
      <c r="AR47" s="244"/>
      <c r="AS47" s="244"/>
      <c r="AT47" s="244"/>
      <c r="AV47" s="41">
        <f>[1]Planning!R47</f>
        <v>0</v>
      </c>
      <c r="AW47" s="42">
        <f>[1]Planning!R47</f>
        <v>0</v>
      </c>
      <c r="AX47" s="41">
        <f>[1]Planning!S47</f>
        <v>0</v>
      </c>
      <c r="AY47" s="42">
        <f>[1]Planning!S47</f>
        <v>0</v>
      </c>
      <c r="AZ47" s="41">
        <f>[1]Planning!T47</f>
        <v>0</v>
      </c>
      <c r="BA47" s="42">
        <f>[1]Planning!T47</f>
        <v>0</v>
      </c>
      <c r="BB47" s="41">
        <f>[1]Planning!U47</f>
        <v>0</v>
      </c>
      <c r="BC47" s="42">
        <f>[1]Planning!U47</f>
        <v>0</v>
      </c>
      <c r="BD47" s="41">
        <f>[1]Planning!V47</f>
        <v>0</v>
      </c>
      <c r="BE47" s="42">
        <f>[1]Planning!V47</f>
        <v>0</v>
      </c>
      <c r="BF47" s="41">
        <f>[1]Planning!W47</f>
        <v>0</v>
      </c>
      <c r="BG47" s="43">
        <f>[1]Planning!W47</f>
        <v>0</v>
      </c>
      <c r="BH47" s="279">
        <f>(BI48&amp;1)*1</f>
        <v>20221</v>
      </c>
      <c r="BI47" s="280"/>
      <c r="BJ47" s="286"/>
      <c r="BK47" s="265">
        <f>IF([1]Planning!AG$24="",,IF($AR$18=1,[1]Planning!AG$24*0.25,[1]Planning!AG$24*0.25*VE))</f>
        <v>0</v>
      </c>
      <c r="BL47" s="272">
        <f t="shared" si="72"/>
        <v>3824.8750000000009</v>
      </c>
      <c r="BM47" s="272" t="e">
        <f>AH25</f>
        <v>#REF!</v>
      </c>
      <c r="BN47" s="273">
        <f t="shared" si="73"/>
        <v>0</v>
      </c>
      <c r="BO47" s="256"/>
      <c r="BP47" s="256"/>
      <c r="BQ47" s="256"/>
      <c r="BR47" s="256"/>
      <c r="BS47" s="256"/>
      <c r="BT47" s="256"/>
      <c r="BU47" s="256"/>
      <c r="BV47" s="256"/>
      <c r="BW47" s="256"/>
      <c r="BX47" s="256"/>
      <c r="BY47" s="256"/>
      <c r="BZ47" s="256"/>
      <c r="CA47" s="256"/>
      <c r="CB47" s="256"/>
      <c r="CC47" s="256"/>
    </row>
    <row r="48" spans="16:81" ht="12.75" customHeight="1" x14ac:dyDescent="0.2">
      <c r="P48" s="38" t="str">
        <f>Planning!N48</f>
        <v>Philippians</v>
      </c>
      <c r="Q48" s="39">
        <f>[1]Planning!Q48</f>
        <v>0</v>
      </c>
      <c r="R48" s="40"/>
      <c r="S48" s="260"/>
      <c r="T48" s="40"/>
      <c r="U48" s="260"/>
      <c r="V48" s="40"/>
      <c r="W48" s="260"/>
      <c r="X48" s="40"/>
      <c r="Y48" s="260"/>
      <c r="Z48" s="40" t="s">
        <v>6</v>
      </c>
      <c r="AA48" s="260">
        <v>2020</v>
      </c>
      <c r="AB48" s="40"/>
      <c r="AC48" s="260"/>
      <c r="AD48" s="2"/>
      <c r="AF48" s="1"/>
      <c r="AJ48" s="244"/>
      <c r="AK48" s="244"/>
      <c r="AO48" s="244"/>
      <c r="AP48" s="244"/>
      <c r="AR48" s="244"/>
      <c r="AS48" s="244"/>
      <c r="AT48" s="244"/>
      <c r="AV48" s="41">
        <f>[1]Planning!R48</f>
        <v>0</v>
      </c>
      <c r="AW48" s="42">
        <f>[1]Planning!R48</f>
        <v>0</v>
      </c>
      <c r="AX48" s="41">
        <f>[1]Planning!S48</f>
        <v>0</v>
      </c>
      <c r="AY48" s="42">
        <f>[1]Planning!S48</f>
        <v>0</v>
      </c>
      <c r="AZ48" s="41">
        <f>[1]Planning!T48</f>
        <v>0</v>
      </c>
      <c r="BA48" s="42">
        <f>[1]Planning!T48</f>
        <v>0</v>
      </c>
      <c r="BB48" s="41">
        <f>[1]Planning!U48</f>
        <v>0</v>
      </c>
      <c r="BC48" s="42">
        <f>[1]Planning!U48</f>
        <v>0</v>
      </c>
      <c r="BD48" s="41">
        <f>[1]Planning!V48</f>
        <v>0</v>
      </c>
      <c r="BE48" s="42">
        <f>[1]Planning!V48</f>
        <v>0</v>
      </c>
      <c r="BF48" s="41">
        <f>[1]Planning!W48</f>
        <v>0</v>
      </c>
      <c r="BG48" s="43">
        <f>[1]Planning!W48</f>
        <v>0</v>
      </c>
      <c r="BH48" s="283">
        <f>(BI48&amp;2)*1</f>
        <v>20222</v>
      </c>
      <c r="BI48" s="284">
        <f>Year6</f>
        <v>2022</v>
      </c>
      <c r="BJ48" s="286"/>
      <c r="BK48" s="265">
        <f>IF([1]Planning!AG$24="",,IF($AR$18=1,[1]Planning!AG$24*0.25,[1]Planning!AG$24*0.25*VE))</f>
        <v>0</v>
      </c>
      <c r="BL48" s="272">
        <f t="shared" si="72"/>
        <v>3824.8750000000009</v>
      </c>
      <c r="BM48" s="272" t="e">
        <f>AI25</f>
        <v>#REF!</v>
      </c>
      <c r="BN48" s="273">
        <f t="shared" si="73"/>
        <v>0</v>
      </c>
      <c r="BO48" s="256"/>
      <c r="BP48" s="256"/>
      <c r="BQ48" s="256"/>
      <c r="BR48" s="256"/>
      <c r="BS48" s="256"/>
      <c r="BT48" s="256"/>
      <c r="BU48" s="256"/>
      <c r="BV48" s="256"/>
      <c r="BW48" s="256"/>
      <c r="BX48" s="256"/>
      <c r="BY48" s="256"/>
      <c r="BZ48" s="256"/>
      <c r="CA48" s="256"/>
      <c r="CB48" s="256"/>
      <c r="CC48" s="256"/>
    </row>
    <row r="49" spans="16:81" ht="12.75" customHeight="1" x14ac:dyDescent="0.2">
      <c r="P49" s="38" t="str">
        <f>Planning!N49</f>
        <v>Colossians</v>
      </c>
      <c r="Q49" s="39">
        <f>[1]Planning!Q49</f>
        <v>0</v>
      </c>
      <c r="R49" s="40"/>
      <c r="S49" s="260"/>
      <c r="T49" s="40"/>
      <c r="U49" s="260"/>
      <c r="V49" s="40"/>
      <c r="W49" s="260"/>
      <c r="X49" s="40"/>
      <c r="Y49" s="260"/>
      <c r="Z49" s="40"/>
      <c r="AA49" s="260"/>
      <c r="AB49" s="40" t="s">
        <v>6</v>
      </c>
      <c r="AC49" s="260">
        <v>2020</v>
      </c>
      <c r="AD49" s="2"/>
      <c r="AF49" s="1"/>
      <c r="AJ49" s="244"/>
      <c r="AK49" s="244"/>
      <c r="AO49" s="244"/>
      <c r="AP49" s="244"/>
      <c r="AR49" s="244"/>
      <c r="AS49" s="244"/>
      <c r="AT49" s="244"/>
      <c r="AV49" s="41">
        <f>[1]Planning!R49</f>
        <v>0</v>
      </c>
      <c r="AW49" s="42">
        <f>[1]Planning!R49</f>
        <v>0</v>
      </c>
      <c r="AX49" s="41">
        <f>[1]Planning!S49</f>
        <v>0</v>
      </c>
      <c r="AY49" s="42">
        <f>[1]Planning!S49</f>
        <v>0</v>
      </c>
      <c r="AZ49" s="41">
        <f>[1]Planning!T49</f>
        <v>0</v>
      </c>
      <c r="BA49" s="42">
        <f>[1]Planning!T49</f>
        <v>0</v>
      </c>
      <c r="BB49" s="41">
        <f>[1]Planning!U49</f>
        <v>0</v>
      </c>
      <c r="BC49" s="42">
        <f>[1]Planning!U49</f>
        <v>0</v>
      </c>
      <c r="BD49" s="41">
        <f>[1]Planning!V49</f>
        <v>0</v>
      </c>
      <c r="BE49" s="42">
        <f>[1]Planning!V49</f>
        <v>0</v>
      </c>
      <c r="BF49" s="41">
        <f>[1]Planning!W49</f>
        <v>0</v>
      </c>
      <c r="BG49" s="43">
        <f>[1]Planning!W49</f>
        <v>0</v>
      </c>
      <c r="BH49" s="283">
        <f>(BI48&amp;3)*1</f>
        <v>20223</v>
      </c>
      <c r="BI49" s="284"/>
      <c r="BJ49" s="286"/>
      <c r="BK49" s="265">
        <f>IF([1]Planning!AG$24="",,IF($AR$18=1,[1]Planning!AG$24*0.25,[1]Planning!AG$24*0.25*VE))</f>
        <v>0</v>
      </c>
      <c r="BL49" s="272">
        <f t="shared" si="72"/>
        <v>3824.8750000000009</v>
      </c>
      <c r="BM49" s="272" t="e">
        <f>AJ25</f>
        <v>#REF!</v>
      </c>
      <c r="BN49" s="273">
        <f t="shared" si="73"/>
        <v>0</v>
      </c>
      <c r="BO49" s="256"/>
      <c r="BP49" s="256"/>
      <c r="BQ49" s="256"/>
      <c r="BR49" s="256"/>
      <c r="BS49" s="256"/>
      <c r="BT49" s="256"/>
      <c r="BU49" s="256"/>
      <c r="BV49" s="256"/>
      <c r="BW49" s="256"/>
      <c r="BX49" s="256"/>
      <c r="BY49" s="256"/>
      <c r="BZ49" s="256"/>
      <c r="CA49" s="256"/>
      <c r="CB49" s="256"/>
      <c r="CC49" s="256"/>
    </row>
    <row r="50" spans="16:81" ht="12.75" customHeight="1" thickBot="1" x14ac:dyDescent="0.25">
      <c r="P50" s="38" t="str">
        <f>Planning!N50</f>
        <v>1 Thessalonians</v>
      </c>
      <c r="Q50" s="39">
        <f>[1]Planning!Q50</f>
        <v>0</v>
      </c>
      <c r="R50" s="40" t="s">
        <v>5</v>
      </c>
      <c r="S50" s="260">
        <v>2019</v>
      </c>
      <c r="T50" s="40" t="s">
        <v>6</v>
      </c>
      <c r="U50" s="260">
        <v>2019</v>
      </c>
      <c r="V50" s="40" t="s">
        <v>7</v>
      </c>
      <c r="W50" s="260">
        <v>2019</v>
      </c>
      <c r="X50" s="40"/>
      <c r="Y50" s="260"/>
      <c r="Z50" s="40"/>
      <c r="AA50" s="260"/>
      <c r="AB50" s="40"/>
      <c r="AC50" s="260"/>
      <c r="AD50" s="2"/>
      <c r="AF50" s="1"/>
      <c r="AJ50" s="244"/>
      <c r="AK50" s="244"/>
      <c r="AO50" s="244"/>
      <c r="AP50" s="244"/>
      <c r="AR50" s="244"/>
      <c r="AS50" s="244"/>
      <c r="AT50" s="244"/>
      <c r="AV50" s="41">
        <f>[1]Planning!R50</f>
        <v>0</v>
      </c>
      <c r="AW50" s="42">
        <f>[1]Planning!R50</f>
        <v>0</v>
      </c>
      <c r="AX50" s="41">
        <f>[1]Planning!S50</f>
        <v>0</v>
      </c>
      <c r="AY50" s="42">
        <f>[1]Planning!S50</f>
        <v>0</v>
      </c>
      <c r="AZ50" s="41">
        <f>[1]Planning!T50</f>
        <v>0</v>
      </c>
      <c r="BA50" s="42">
        <f>[1]Planning!T50</f>
        <v>0</v>
      </c>
      <c r="BB50" s="41">
        <f>[1]Planning!U50</f>
        <v>0</v>
      </c>
      <c r="BC50" s="42">
        <f>[1]Planning!U50</f>
        <v>0</v>
      </c>
      <c r="BD50" s="41">
        <f>[1]Planning!V50</f>
        <v>0</v>
      </c>
      <c r="BE50" s="42">
        <f>[1]Planning!V50</f>
        <v>0</v>
      </c>
      <c r="BF50" s="41">
        <f>[1]Planning!W50</f>
        <v>0</v>
      </c>
      <c r="BG50" s="43">
        <f>[1]Planning!W50</f>
        <v>0</v>
      </c>
      <c r="BH50" s="277">
        <f>(BI48&amp;4)*1</f>
        <v>20224</v>
      </c>
      <c r="BI50" s="285"/>
      <c r="BJ50" s="286"/>
      <c r="BK50" s="265">
        <f>IF([1]Planning!AG$24="",,IF($AR$18=1,[1]Planning!AG$24*0.25,[1]Planning!AG$24*0.25*VE))</f>
        <v>0</v>
      </c>
      <c r="BL50" s="272">
        <f t="shared" si="72"/>
        <v>3824.8750000000009</v>
      </c>
      <c r="BM50" s="272" t="e">
        <f>AK25</f>
        <v>#REF!</v>
      </c>
      <c r="BN50" s="273">
        <f t="shared" si="73"/>
        <v>0</v>
      </c>
      <c r="BO50" s="256"/>
      <c r="BP50" s="256"/>
      <c r="BQ50" s="256"/>
      <c r="BR50" s="256"/>
      <c r="BS50" s="256"/>
      <c r="BT50" s="256"/>
      <c r="BU50" s="256"/>
      <c r="BV50" s="256"/>
      <c r="BW50" s="256"/>
      <c r="BX50" s="256"/>
      <c r="BY50" s="256"/>
      <c r="BZ50" s="256"/>
      <c r="CA50" s="256"/>
      <c r="CB50" s="256"/>
      <c r="CC50" s="256"/>
    </row>
    <row r="51" spans="16:81" ht="12.75" customHeight="1" x14ac:dyDescent="0.2">
      <c r="P51" s="38" t="str">
        <f>Planning!N51</f>
        <v>2 Thessalonians</v>
      </c>
      <c r="Q51" s="39">
        <f>[1]Planning!Q51</f>
        <v>0</v>
      </c>
      <c r="R51" s="40" t="s">
        <v>6</v>
      </c>
      <c r="S51" s="260">
        <v>2019</v>
      </c>
      <c r="T51" s="40" t="s">
        <v>6</v>
      </c>
      <c r="U51" s="260">
        <v>2019</v>
      </c>
      <c r="V51" s="40" t="s">
        <v>3</v>
      </c>
      <c r="W51" s="260">
        <v>2019</v>
      </c>
      <c r="X51" s="40"/>
      <c r="Y51" s="260"/>
      <c r="Z51" s="40"/>
      <c r="AA51" s="260"/>
      <c r="AB51" s="40"/>
      <c r="AC51" s="260"/>
      <c r="AD51" s="2"/>
      <c r="AF51" s="1"/>
      <c r="AJ51" s="244"/>
      <c r="AK51" s="244"/>
      <c r="AO51" s="244"/>
      <c r="AP51" s="244"/>
      <c r="AR51" s="244"/>
      <c r="AS51" s="244"/>
      <c r="AT51" s="244"/>
      <c r="AV51" s="41">
        <f>[1]Planning!R51</f>
        <v>0</v>
      </c>
      <c r="AW51" s="42">
        <f>[1]Planning!R51</f>
        <v>0</v>
      </c>
      <c r="AX51" s="41">
        <f>[1]Planning!S51</f>
        <v>0</v>
      </c>
      <c r="AY51" s="42">
        <f>[1]Planning!S51</f>
        <v>0</v>
      </c>
      <c r="AZ51" s="41">
        <f>[1]Planning!T51</f>
        <v>0</v>
      </c>
      <c r="BA51" s="42">
        <f>[1]Planning!T51</f>
        <v>0</v>
      </c>
      <c r="BB51" s="41">
        <f>[1]Planning!U51</f>
        <v>0</v>
      </c>
      <c r="BC51" s="42">
        <f>[1]Planning!U51</f>
        <v>0</v>
      </c>
      <c r="BD51" s="41">
        <f>[1]Planning!V51</f>
        <v>0</v>
      </c>
      <c r="BE51" s="42">
        <f>[1]Planning!V51</f>
        <v>0</v>
      </c>
      <c r="BF51" s="41">
        <f>[1]Planning!W51</f>
        <v>0</v>
      </c>
      <c r="BG51" s="43">
        <f>[1]Planning!W51</f>
        <v>0</v>
      </c>
      <c r="BH51" s="279">
        <f>(BI52&amp;1)*1</f>
        <v>20231</v>
      </c>
      <c r="BI51" s="280"/>
      <c r="BJ51" s="286"/>
      <c r="BK51" s="265">
        <f>IF([1]Planning!AG$25="",,IF($AR$18=1,[1]Planning!AG$25*0.25,[1]Planning!AG$25*0.25*VE))</f>
        <v>0</v>
      </c>
      <c r="BL51" s="272">
        <f t="shared" si="72"/>
        <v>3824.8750000000009</v>
      </c>
      <c r="BM51" s="272" t="e">
        <f>AH26</f>
        <v>#REF!</v>
      </c>
      <c r="BN51" s="273">
        <f t="shared" si="73"/>
        <v>0</v>
      </c>
      <c r="BW51" s="256"/>
      <c r="BX51" s="256"/>
      <c r="BY51" s="256"/>
      <c r="BZ51" s="256"/>
      <c r="CA51" s="274"/>
    </row>
    <row r="52" spans="16:81" ht="12.75" customHeight="1" x14ac:dyDescent="0.2">
      <c r="P52" s="38" t="str">
        <f>Planning!N52</f>
        <v>1 Timothy</v>
      </c>
      <c r="Q52" s="39">
        <f>[1]Planning!Q52</f>
        <v>0</v>
      </c>
      <c r="R52" s="40" t="s">
        <v>7</v>
      </c>
      <c r="S52" s="260">
        <v>2019</v>
      </c>
      <c r="T52" s="40" t="s">
        <v>3</v>
      </c>
      <c r="U52" s="260">
        <v>2019</v>
      </c>
      <c r="V52" s="40" t="s">
        <v>3</v>
      </c>
      <c r="W52" s="260">
        <v>2019</v>
      </c>
      <c r="X52" s="40"/>
      <c r="Y52" s="260"/>
      <c r="Z52" s="40"/>
      <c r="AA52" s="260"/>
      <c r="AB52" s="40"/>
      <c r="AC52" s="260"/>
      <c r="AD52" s="2"/>
      <c r="AE52" s="1"/>
      <c r="AF52" s="1"/>
      <c r="AJ52" s="244"/>
      <c r="AK52" s="244"/>
      <c r="AO52" s="244"/>
      <c r="AP52" s="244"/>
      <c r="AR52" s="244"/>
      <c r="AS52" s="244"/>
      <c r="AT52" s="244"/>
      <c r="AV52" s="41">
        <f>[1]Planning!R52</f>
        <v>0</v>
      </c>
      <c r="AW52" s="42">
        <f>[1]Planning!R52</f>
        <v>0</v>
      </c>
      <c r="AX52" s="41">
        <f>[1]Planning!S52</f>
        <v>0</v>
      </c>
      <c r="AY52" s="42">
        <f>[1]Planning!S52</f>
        <v>0</v>
      </c>
      <c r="AZ52" s="41">
        <f>[1]Planning!T52</f>
        <v>0</v>
      </c>
      <c r="BA52" s="42">
        <f>[1]Planning!T52</f>
        <v>0</v>
      </c>
      <c r="BB52" s="41">
        <f>[1]Planning!U52</f>
        <v>0</v>
      </c>
      <c r="BC52" s="42">
        <f>[1]Planning!U52</f>
        <v>0</v>
      </c>
      <c r="BD52" s="41">
        <f>[1]Planning!V52</f>
        <v>0</v>
      </c>
      <c r="BE52" s="42">
        <f>[1]Planning!V52</f>
        <v>0</v>
      </c>
      <c r="BF52" s="41">
        <f>[1]Planning!W52</f>
        <v>0</v>
      </c>
      <c r="BG52" s="43">
        <f>[1]Planning!W52</f>
        <v>0</v>
      </c>
      <c r="BH52" s="283">
        <f>(BI52&amp;2)*1</f>
        <v>20232</v>
      </c>
      <c r="BI52" s="284">
        <f>Year7</f>
        <v>2023</v>
      </c>
      <c r="BJ52" s="286"/>
      <c r="BK52" s="265">
        <f>IF([1]Planning!AG$25="",,IF($AR$18=1,[1]Planning!AG$25*0.25,[1]Planning!AG$25*0.25*VE))</f>
        <v>0</v>
      </c>
      <c r="BL52" s="272">
        <f t="shared" si="72"/>
        <v>3824.8750000000009</v>
      </c>
      <c r="BM52" s="272" t="e">
        <f>AI26</f>
        <v>#REF!</v>
      </c>
      <c r="BN52" s="273">
        <f t="shared" si="73"/>
        <v>0</v>
      </c>
      <c r="BW52" s="256"/>
      <c r="BX52" s="256"/>
      <c r="BY52" s="256"/>
      <c r="BZ52" s="256"/>
      <c r="CA52" s="274"/>
    </row>
    <row r="53" spans="16:81" ht="12.75" customHeight="1" x14ac:dyDescent="0.2">
      <c r="P53" s="38" t="str">
        <f>Planning!N53</f>
        <v>2 Timothy</v>
      </c>
      <c r="Q53" s="39">
        <f>[1]Planning!Q53</f>
        <v>0</v>
      </c>
      <c r="R53" s="40" t="s">
        <v>7</v>
      </c>
      <c r="S53" s="260">
        <v>2019</v>
      </c>
      <c r="T53" s="40" t="s">
        <v>3</v>
      </c>
      <c r="U53" s="260">
        <v>2019</v>
      </c>
      <c r="V53" s="40"/>
      <c r="W53" s="260"/>
      <c r="X53" s="40"/>
      <c r="Y53" s="260"/>
      <c r="Z53" s="40"/>
      <c r="AA53" s="260"/>
      <c r="AB53" s="40"/>
      <c r="AC53" s="260"/>
      <c r="AD53" s="2"/>
      <c r="AE53" s="1"/>
      <c r="AF53" s="1"/>
      <c r="AJ53" s="244"/>
      <c r="AK53" s="244"/>
      <c r="AO53" s="244"/>
      <c r="AP53" s="244"/>
      <c r="AR53" s="244"/>
      <c r="AS53" s="244"/>
      <c r="AT53" s="244"/>
      <c r="AV53" s="41">
        <f>[1]Planning!R53</f>
        <v>0</v>
      </c>
      <c r="AW53" s="42">
        <f>[1]Planning!R53</f>
        <v>0</v>
      </c>
      <c r="AX53" s="41">
        <f>[1]Planning!S53</f>
        <v>0</v>
      </c>
      <c r="AY53" s="42">
        <f>[1]Planning!S53</f>
        <v>0</v>
      </c>
      <c r="AZ53" s="41">
        <f>[1]Planning!T53</f>
        <v>0</v>
      </c>
      <c r="BA53" s="42">
        <f>[1]Planning!T53</f>
        <v>0</v>
      </c>
      <c r="BB53" s="41">
        <f>[1]Planning!U53</f>
        <v>0</v>
      </c>
      <c r="BC53" s="42">
        <f>[1]Planning!U53</f>
        <v>0</v>
      </c>
      <c r="BD53" s="41">
        <f>[1]Planning!V53</f>
        <v>0</v>
      </c>
      <c r="BE53" s="42">
        <f>[1]Planning!V53</f>
        <v>0</v>
      </c>
      <c r="BF53" s="41">
        <f>[1]Planning!W53</f>
        <v>0</v>
      </c>
      <c r="BG53" s="43">
        <f>[1]Planning!W53</f>
        <v>0</v>
      </c>
      <c r="BH53" s="283">
        <f>(BI52&amp;3)*1</f>
        <v>20233</v>
      </c>
      <c r="BI53" s="284"/>
      <c r="BJ53" s="286"/>
      <c r="BK53" s="265">
        <f>IF([1]Planning!AG$25="",,IF($AR$18=1,[1]Planning!AG$25*0.25,[1]Planning!AG$25*0.25*VE))</f>
        <v>0</v>
      </c>
      <c r="BL53" s="272">
        <f t="shared" si="72"/>
        <v>3824.8750000000009</v>
      </c>
      <c r="BM53" s="272" t="e">
        <f>AJ26</f>
        <v>#REF!</v>
      </c>
      <c r="BN53" s="273">
        <f t="shared" si="73"/>
        <v>0</v>
      </c>
      <c r="BW53" s="256"/>
      <c r="BX53" s="256"/>
      <c r="BY53" s="256"/>
      <c r="BZ53" s="256"/>
      <c r="CA53" s="274"/>
    </row>
    <row r="54" spans="16:81" ht="12.75" customHeight="1" thickBot="1" x14ac:dyDescent="0.25">
      <c r="P54" s="38" t="str">
        <f>Planning!N54</f>
        <v>Titus</v>
      </c>
      <c r="Q54" s="39">
        <f>[1]Planning!Q54</f>
        <v>0</v>
      </c>
      <c r="R54" s="40" t="s">
        <v>3</v>
      </c>
      <c r="S54" s="260">
        <v>2019</v>
      </c>
      <c r="T54" s="40" t="s">
        <v>3</v>
      </c>
      <c r="U54" s="260">
        <v>2019</v>
      </c>
      <c r="V54" s="40"/>
      <c r="W54" s="260"/>
      <c r="X54" s="40"/>
      <c r="Y54" s="260"/>
      <c r="Z54" s="40"/>
      <c r="AA54" s="260"/>
      <c r="AB54" s="40"/>
      <c r="AC54" s="260"/>
      <c r="AD54" s="2"/>
      <c r="AE54" s="1"/>
      <c r="AF54" s="1"/>
      <c r="AJ54" s="244"/>
      <c r="AK54" s="244"/>
      <c r="AO54" s="244"/>
      <c r="AP54" s="244"/>
      <c r="AR54" s="244"/>
      <c r="AS54" s="244"/>
      <c r="AT54" s="244"/>
      <c r="AV54" s="41">
        <f>[1]Planning!R54</f>
        <v>0</v>
      </c>
      <c r="AW54" s="42">
        <f>[1]Planning!R54</f>
        <v>0</v>
      </c>
      <c r="AX54" s="41">
        <f>[1]Planning!S54</f>
        <v>0</v>
      </c>
      <c r="AY54" s="42">
        <f>[1]Planning!S54</f>
        <v>0</v>
      </c>
      <c r="AZ54" s="41">
        <f>[1]Planning!T54</f>
        <v>0</v>
      </c>
      <c r="BA54" s="42">
        <f>[1]Planning!T54</f>
        <v>0</v>
      </c>
      <c r="BB54" s="41">
        <f>[1]Planning!U54</f>
        <v>0</v>
      </c>
      <c r="BC54" s="42">
        <f>[1]Planning!U54</f>
        <v>0</v>
      </c>
      <c r="BD54" s="41">
        <f>[1]Planning!V54</f>
        <v>0</v>
      </c>
      <c r="BE54" s="42">
        <f>[1]Planning!V54</f>
        <v>0</v>
      </c>
      <c r="BF54" s="41">
        <f>[1]Planning!W54</f>
        <v>0</v>
      </c>
      <c r="BG54" s="43">
        <f>[1]Planning!W54</f>
        <v>0</v>
      </c>
      <c r="BH54" s="277">
        <f>(BI52&amp;4)*1</f>
        <v>20234</v>
      </c>
      <c r="BI54" s="285"/>
      <c r="BJ54" s="286"/>
      <c r="BK54" s="265">
        <f>IF([1]Planning!AG$25="",,IF($AR$18=1,[1]Planning!AG$25*0.25,[1]Planning!AG$25*0.25*VE))</f>
        <v>0</v>
      </c>
      <c r="BL54" s="272">
        <f t="shared" si="72"/>
        <v>3824.8750000000009</v>
      </c>
      <c r="BM54" s="272" t="e">
        <f>AK26</f>
        <v>#REF!</v>
      </c>
      <c r="BN54" s="273">
        <f t="shared" si="73"/>
        <v>0</v>
      </c>
      <c r="BW54" s="256"/>
      <c r="BX54" s="256"/>
      <c r="BY54" s="256"/>
      <c r="BZ54" s="256"/>
      <c r="CA54" s="274"/>
    </row>
    <row r="55" spans="16:81" ht="12.75" customHeight="1" x14ac:dyDescent="0.2">
      <c r="P55" s="38" t="str">
        <f>Planning!N55</f>
        <v>Philemon</v>
      </c>
      <c r="Q55" s="39">
        <f>[1]Planning!Q55</f>
        <v>0</v>
      </c>
      <c r="R55" s="40" t="s">
        <v>3</v>
      </c>
      <c r="S55" s="260">
        <v>2019</v>
      </c>
      <c r="T55" s="40" t="s">
        <v>3</v>
      </c>
      <c r="U55" s="260">
        <v>2019</v>
      </c>
      <c r="V55" s="40"/>
      <c r="W55" s="260"/>
      <c r="X55" s="40"/>
      <c r="Y55" s="260"/>
      <c r="Z55" s="40"/>
      <c r="AA55" s="260"/>
      <c r="AB55" s="40"/>
      <c r="AC55" s="260"/>
      <c r="AD55" s="2"/>
      <c r="AE55" s="1"/>
      <c r="AF55" s="1"/>
      <c r="AJ55" s="244"/>
      <c r="AK55" s="244"/>
      <c r="AO55" s="244"/>
      <c r="AP55" s="244"/>
      <c r="AR55" s="244"/>
      <c r="AS55" s="244"/>
      <c r="AT55" s="244"/>
      <c r="AV55" s="41">
        <f>[1]Planning!R55</f>
        <v>0</v>
      </c>
      <c r="AW55" s="42">
        <f>[1]Planning!R55</f>
        <v>0</v>
      </c>
      <c r="AX55" s="41">
        <f>[1]Planning!S55</f>
        <v>0</v>
      </c>
      <c r="AY55" s="42">
        <f>[1]Planning!S55</f>
        <v>0</v>
      </c>
      <c r="AZ55" s="41">
        <f>[1]Planning!T55</f>
        <v>0</v>
      </c>
      <c r="BA55" s="42">
        <f>[1]Planning!T55</f>
        <v>0</v>
      </c>
      <c r="BB55" s="41">
        <f>[1]Planning!U55</f>
        <v>0</v>
      </c>
      <c r="BC55" s="42">
        <f>[1]Planning!U55</f>
        <v>0</v>
      </c>
      <c r="BD55" s="41">
        <f>[1]Planning!V55</f>
        <v>0</v>
      </c>
      <c r="BE55" s="42">
        <f>[1]Planning!V55</f>
        <v>0</v>
      </c>
      <c r="BF55" s="41">
        <f>[1]Planning!W55</f>
        <v>0</v>
      </c>
      <c r="BG55" s="43">
        <f>[1]Planning!W55</f>
        <v>0</v>
      </c>
      <c r="BH55" s="279">
        <f>(BI56&amp;1)*1</f>
        <v>20241</v>
      </c>
      <c r="BI55" s="280"/>
      <c r="BJ55" s="286"/>
      <c r="BK55" s="265">
        <f>IF([1]Planning!AG$26="",,IF($AR$18=1,[1]Planning!AG$26*0.25,[1]Planning!AG$26*0.25*VE))</f>
        <v>0</v>
      </c>
      <c r="BL55" s="272">
        <f t="shared" si="72"/>
        <v>3824.8750000000009</v>
      </c>
      <c r="BM55" s="272" t="e">
        <f>AH27</f>
        <v>#REF!</v>
      </c>
      <c r="BN55" s="273">
        <f t="shared" si="73"/>
        <v>0</v>
      </c>
      <c r="BW55" s="256"/>
      <c r="BX55" s="256"/>
      <c r="BY55" s="256"/>
      <c r="BZ55" s="256"/>
      <c r="CA55" s="274"/>
    </row>
    <row r="56" spans="16:81" ht="12.75" customHeight="1" x14ac:dyDescent="0.2">
      <c r="P56" s="38" t="str">
        <f>Planning!N56</f>
        <v>Hebrews</v>
      </c>
      <c r="Q56" s="39">
        <f>[1]Planning!Q56</f>
        <v>0</v>
      </c>
      <c r="R56" s="40"/>
      <c r="S56" s="260"/>
      <c r="T56" s="40"/>
      <c r="U56" s="260"/>
      <c r="V56" s="40"/>
      <c r="W56" s="260"/>
      <c r="X56" s="40"/>
      <c r="Y56" s="260"/>
      <c r="Z56" s="40"/>
      <c r="AA56" s="260"/>
      <c r="AB56" s="40"/>
      <c r="AC56" s="260"/>
      <c r="AD56" s="2"/>
      <c r="AE56" s="1"/>
      <c r="AF56" s="1"/>
      <c r="AJ56" s="244"/>
      <c r="AK56" s="244"/>
      <c r="AO56" s="244"/>
      <c r="AP56" s="244"/>
      <c r="AR56" s="244"/>
      <c r="AS56" s="244"/>
      <c r="AT56" s="244"/>
      <c r="AV56" s="41">
        <f>[1]Planning!R56</f>
        <v>0</v>
      </c>
      <c r="AW56" s="42">
        <f>[1]Planning!R56</f>
        <v>0</v>
      </c>
      <c r="AX56" s="41">
        <f>[1]Planning!S56</f>
        <v>0</v>
      </c>
      <c r="AY56" s="42">
        <f>[1]Planning!S56</f>
        <v>0</v>
      </c>
      <c r="AZ56" s="41">
        <f>[1]Planning!T56</f>
        <v>0</v>
      </c>
      <c r="BA56" s="42">
        <f>[1]Planning!T56</f>
        <v>0</v>
      </c>
      <c r="BB56" s="41">
        <f>[1]Planning!U56</f>
        <v>0</v>
      </c>
      <c r="BC56" s="42">
        <f>[1]Planning!U56</f>
        <v>0</v>
      </c>
      <c r="BD56" s="41">
        <f>[1]Planning!V56</f>
        <v>0</v>
      </c>
      <c r="BE56" s="42">
        <f>[1]Planning!V56</f>
        <v>0</v>
      </c>
      <c r="BF56" s="41">
        <f>[1]Planning!W56</f>
        <v>0</v>
      </c>
      <c r="BG56" s="43">
        <f>[1]Planning!W56</f>
        <v>0</v>
      </c>
      <c r="BH56" s="283">
        <f>(BI56&amp;2)*1</f>
        <v>20242</v>
      </c>
      <c r="BI56" s="284">
        <f>Year8</f>
        <v>2024</v>
      </c>
      <c r="BJ56" s="286"/>
      <c r="BK56" s="265">
        <f>IF([1]Planning!AG$26="",,IF($AR$18=1,[1]Planning!AG$26*0.25,[1]Planning!AG$26*0.25*VE))</f>
        <v>0</v>
      </c>
      <c r="BL56" s="272">
        <f t="shared" si="72"/>
        <v>3824.8750000000009</v>
      </c>
      <c r="BM56" s="272" t="e">
        <f>AI27</f>
        <v>#REF!</v>
      </c>
      <c r="BN56" s="273">
        <f t="shared" si="73"/>
        <v>0</v>
      </c>
      <c r="BW56" s="256"/>
      <c r="BX56" s="256"/>
      <c r="BY56" s="256"/>
      <c r="BZ56" s="256"/>
      <c r="CA56" s="274"/>
    </row>
    <row r="57" spans="16:81" ht="12.75" customHeight="1" x14ac:dyDescent="0.2">
      <c r="P57" s="38" t="str">
        <f>Planning!N57</f>
        <v>James</v>
      </c>
      <c r="Q57" s="39">
        <f>[1]Planning!Q57</f>
        <v>0</v>
      </c>
      <c r="R57" s="40" t="s">
        <v>7</v>
      </c>
      <c r="S57" s="260">
        <v>2018</v>
      </c>
      <c r="T57" s="40" t="s">
        <v>3</v>
      </c>
      <c r="U57" s="260">
        <v>2018</v>
      </c>
      <c r="V57" s="40" t="s">
        <v>6</v>
      </c>
      <c r="W57" s="260">
        <v>2019</v>
      </c>
      <c r="X57" s="40"/>
      <c r="Y57" s="260"/>
      <c r="Z57" s="40">
        <v>0.25</v>
      </c>
      <c r="AA57" s="260">
        <v>2019</v>
      </c>
      <c r="AB57" s="40"/>
      <c r="AC57" s="260"/>
      <c r="AD57" s="2"/>
      <c r="AE57" s="1"/>
      <c r="AF57" s="1"/>
      <c r="AJ57" s="244"/>
      <c r="AK57" s="244"/>
      <c r="AO57" s="244"/>
      <c r="AP57" s="244"/>
      <c r="AR57" s="244"/>
      <c r="AS57" s="244"/>
      <c r="AT57" s="244"/>
      <c r="AV57" s="41">
        <f>[1]Planning!R57</f>
        <v>0</v>
      </c>
      <c r="AW57" s="42">
        <f>[1]Planning!R57</f>
        <v>0</v>
      </c>
      <c r="AX57" s="41">
        <f>[1]Planning!S57</f>
        <v>0</v>
      </c>
      <c r="AY57" s="42">
        <f>[1]Planning!S57</f>
        <v>0</v>
      </c>
      <c r="AZ57" s="41">
        <f>[1]Planning!T57</f>
        <v>0</v>
      </c>
      <c r="BA57" s="42">
        <f>[1]Planning!T57</f>
        <v>0</v>
      </c>
      <c r="BB57" s="41">
        <f>[1]Planning!U57</f>
        <v>0</v>
      </c>
      <c r="BC57" s="42">
        <f>[1]Planning!U57</f>
        <v>0</v>
      </c>
      <c r="BD57" s="41">
        <f>[1]Planning!V57</f>
        <v>0</v>
      </c>
      <c r="BE57" s="42">
        <f>[1]Planning!V57</f>
        <v>0</v>
      </c>
      <c r="BF57" s="41">
        <f>[1]Planning!W57</f>
        <v>0</v>
      </c>
      <c r="BG57" s="43">
        <f>[1]Planning!W57</f>
        <v>0</v>
      </c>
      <c r="BH57" s="283">
        <f>(BI56&amp;3)*1</f>
        <v>20243</v>
      </c>
      <c r="BI57" s="284"/>
      <c r="BJ57" s="286"/>
      <c r="BK57" s="265">
        <f>IF([1]Planning!AG$26="",,IF($AR$18=1,[1]Planning!AG$26*0.25,[1]Planning!AG$26*0.25*VE))</f>
        <v>0</v>
      </c>
      <c r="BL57" s="272">
        <f t="shared" si="72"/>
        <v>3824.8750000000009</v>
      </c>
      <c r="BM57" s="272" t="e">
        <f>AJ27</f>
        <v>#REF!</v>
      </c>
      <c r="BN57" s="273">
        <f t="shared" si="73"/>
        <v>0</v>
      </c>
      <c r="BW57" s="256"/>
      <c r="BX57" s="256"/>
      <c r="BY57" s="256"/>
      <c r="BZ57" s="256"/>
      <c r="CA57" s="274"/>
    </row>
    <row r="58" spans="16:81" ht="12.75" customHeight="1" thickBot="1" x14ac:dyDescent="0.25">
      <c r="P58" s="38" t="str">
        <f>Planning!N58</f>
        <v>1 Peter</v>
      </c>
      <c r="Q58" s="39">
        <f>[1]Planning!Q58</f>
        <v>0</v>
      </c>
      <c r="R58" s="40"/>
      <c r="S58" s="260"/>
      <c r="T58" s="40"/>
      <c r="U58" s="260"/>
      <c r="V58" s="40"/>
      <c r="W58" s="260"/>
      <c r="X58" s="40"/>
      <c r="Y58" s="260"/>
      <c r="Z58" s="40"/>
      <c r="AA58" s="260"/>
      <c r="AB58" s="40"/>
      <c r="AC58" s="260"/>
      <c r="AD58" s="2"/>
      <c r="AE58" s="1"/>
      <c r="AF58" s="1"/>
      <c r="AJ58" s="244"/>
      <c r="AK58" s="244"/>
      <c r="AO58" s="244"/>
      <c r="AP58" s="244"/>
      <c r="AV58" s="41">
        <f>[1]Planning!R58</f>
        <v>0</v>
      </c>
      <c r="AW58" s="42">
        <f>[1]Planning!R58</f>
        <v>0</v>
      </c>
      <c r="AX58" s="41">
        <f>[1]Planning!S58</f>
        <v>0</v>
      </c>
      <c r="AY58" s="42">
        <f>[1]Planning!S58</f>
        <v>0</v>
      </c>
      <c r="AZ58" s="41">
        <f>[1]Planning!T58</f>
        <v>0</v>
      </c>
      <c r="BA58" s="42">
        <f>[1]Planning!T58</f>
        <v>0</v>
      </c>
      <c r="BB58" s="41">
        <f>[1]Planning!U58</f>
        <v>0</v>
      </c>
      <c r="BC58" s="42">
        <f>[1]Planning!U58</f>
        <v>0</v>
      </c>
      <c r="BD58" s="41">
        <f>[1]Planning!V58</f>
        <v>0</v>
      </c>
      <c r="BE58" s="42">
        <f>[1]Planning!V58</f>
        <v>0</v>
      </c>
      <c r="BF58" s="41">
        <f>[1]Planning!W58</f>
        <v>0</v>
      </c>
      <c r="BG58" s="43">
        <f>[1]Planning!W58</f>
        <v>0</v>
      </c>
      <c r="BH58" s="277">
        <f>(BI56&amp;4)*1</f>
        <v>20244</v>
      </c>
      <c r="BI58" s="285"/>
      <c r="BJ58" s="286"/>
      <c r="BK58" s="265">
        <f>IF([1]Planning!AG$26="",,IF($AR$18=1,[1]Planning!AG$26*0.25,[1]Planning!AG$26*0.25*VE))</f>
        <v>0</v>
      </c>
      <c r="BL58" s="272">
        <f t="shared" si="72"/>
        <v>3824.8750000000009</v>
      </c>
      <c r="BM58" s="272" t="e">
        <f>AK27</f>
        <v>#REF!</v>
      </c>
      <c r="BN58" s="273">
        <f t="shared" si="73"/>
        <v>0</v>
      </c>
      <c r="BW58" s="256"/>
      <c r="BX58" s="256"/>
      <c r="BY58" s="256"/>
      <c r="BZ58" s="256"/>
      <c r="CA58" s="274"/>
    </row>
    <row r="59" spans="16:81" ht="12.75" customHeight="1" x14ac:dyDescent="0.2">
      <c r="P59" s="38" t="str">
        <f>Planning!N59</f>
        <v>2 Peter</v>
      </c>
      <c r="Q59" s="39">
        <f>[1]Planning!Q59</f>
        <v>0</v>
      </c>
      <c r="R59" s="40"/>
      <c r="S59" s="260"/>
      <c r="T59" s="40"/>
      <c r="U59" s="260"/>
      <c r="V59" s="40"/>
      <c r="W59" s="260"/>
      <c r="X59" s="40"/>
      <c r="Y59" s="260"/>
      <c r="Z59" s="40"/>
      <c r="AA59" s="260"/>
      <c r="AB59" s="40"/>
      <c r="AC59" s="260"/>
      <c r="AD59" s="2"/>
      <c r="AE59" s="1"/>
      <c r="AF59" s="1"/>
      <c r="AJ59" s="244"/>
      <c r="AK59" s="244"/>
      <c r="AO59" s="244"/>
      <c r="AP59" s="244"/>
      <c r="AV59" s="41">
        <f>[1]Planning!R59</f>
        <v>0</v>
      </c>
      <c r="AW59" s="42">
        <f>[1]Planning!R59</f>
        <v>0</v>
      </c>
      <c r="AX59" s="41">
        <f>[1]Planning!S59</f>
        <v>0</v>
      </c>
      <c r="AY59" s="42">
        <f>[1]Planning!S59</f>
        <v>0</v>
      </c>
      <c r="AZ59" s="41">
        <f>[1]Planning!T59</f>
        <v>0</v>
      </c>
      <c r="BA59" s="42">
        <f>[1]Planning!T59</f>
        <v>0</v>
      </c>
      <c r="BB59" s="41">
        <f>[1]Planning!U59</f>
        <v>0</v>
      </c>
      <c r="BC59" s="42">
        <f>[1]Planning!U59</f>
        <v>0</v>
      </c>
      <c r="BD59" s="41">
        <f>[1]Planning!V59</f>
        <v>0</v>
      </c>
      <c r="BE59" s="42">
        <f>[1]Planning!V59</f>
        <v>0</v>
      </c>
      <c r="BF59" s="41">
        <f>[1]Planning!W59</f>
        <v>0</v>
      </c>
      <c r="BG59" s="43">
        <f>[1]Planning!W59</f>
        <v>0</v>
      </c>
      <c r="BH59" s="279">
        <f>(BI60&amp;1)*1</f>
        <v>20251</v>
      </c>
      <c r="BI59" s="280"/>
      <c r="BJ59" s="286"/>
      <c r="BK59" s="265">
        <f>IF([1]Planning!AG$27="",,IF($AR$18=1,[1]Planning!AG$27*0.25,[1]Planning!AG$27*0.25*VE))</f>
        <v>0</v>
      </c>
      <c r="BL59" s="272">
        <f t="shared" si="72"/>
        <v>3824.8750000000009</v>
      </c>
      <c r="BM59" s="272" t="e">
        <f>AH28</f>
        <v>#REF!</v>
      </c>
      <c r="BN59" s="273">
        <f t="shared" si="73"/>
        <v>0</v>
      </c>
      <c r="BW59" s="256"/>
      <c r="BX59" s="256"/>
      <c r="BY59" s="256"/>
      <c r="BZ59" s="256"/>
      <c r="CA59" s="274"/>
    </row>
    <row r="60" spans="16:81" ht="12.75" customHeight="1" x14ac:dyDescent="0.2">
      <c r="P60" s="38" t="str">
        <f>Planning!N60</f>
        <v>1 John</v>
      </c>
      <c r="Q60" s="39">
        <f>[1]Planning!Q60</f>
        <v>0</v>
      </c>
      <c r="R60" s="40">
        <v>0.25</v>
      </c>
      <c r="S60" s="260">
        <v>2020</v>
      </c>
      <c r="T60" s="40"/>
      <c r="U60" s="260"/>
      <c r="V60" s="40"/>
      <c r="W60" s="260"/>
      <c r="X60" s="40"/>
      <c r="Y60" s="260"/>
      <c r="Z60" s="40"/>
      <c r="AA60" s="260"/>
      <c r="AB60" s="40"/>
      <c r="AC60" s="260"/>
      <c r="AD60" s="2"/>
      <c r="AE60" s="1"/>
      <c r="AF60" s="1"/>
      <c r="AJ60" s="244"/>
      <c r="AK60" s="244"/>
      <c r="AO60" s="244"/>
      <c r="AP60" s="244"/>
      <c r="AV60" s="41">
        <f>[1]Planning!R60</f>
        <v>0</v>
      </c>
      <c r="AW60" s="42">
        <f>[1]Planning!R60</f>
        <v>0</v>
      </c>
      <c r="AX60" s="41">
        <f>[1]Planning!S60</f>
        <v>0</v>
      </c>
      <c r="AY60" s="42">
        <f>[1]Planning!S60</f>
        <v>0</v>
      </c>
      <c r="AZ60" s="41">
        <f>[1]Planning!T60</f>
        <v>0</v>
      </c>
      <c r="BA60" s="42">
        <f>[1]Planning!T60</f>
        <v>0</v>
      </c>
      <c r="BB60" s="41">
        <f>[1]Planning!U60</f>
        <v>0</v>
      </c>
      <c r="BC60" s="42">
        <f>[1]Planning!U60</f>
        <v>0</v>
      </c>
      <c r="BD60" s="41">
        <f>[1]Planning!V60</f>
        <v>0</v>
      </c>
      <c r="BE60" s="42">
        <f>[1]Planning!V60</f>
        <v>0</v>
      </c>
      <c r="BF60" s="41">
        <f>[1]Planning!W60</f>
        <v>0</v>
      </c>
      <c r="BG60" s="43">
        <f>[1]Planning!W60</f>
        <v>0</v>
      </c>
      <c r="BH60" s="283">
        <f>(BI60&amp;2)*1</f>
        <v>20252</v>
      </c>
      <c r="BI60" s="284">
        <f>Year9</f>
        <v>2025</v>
      </c>
      <c r="BJ60" s="286"/>
      <c r="BK60" s="265">
        <f>IF([1]Planning!AG$27="",,IF($AR$18=1,[1]Planning!AG$27*0.25,[1]Planning!AG$27*0.25*VE))</f>
        <v>0</v>
      </c>
      <c r="BL60" s="272">
        <f t="shared" si="72"/>
        <v>3824.8750000000009</v>
      </c>
      <c r="BM60" s="272" t="e">
        <f>AI28</f>
        <v>#REF!</v>
      </c>
      <c r="BN60" s="273">
        <f t="shared" si="73"/>
        <v>0</v>
      </c>
      <c r="BW60" s="256"/>
      <c r="BX60" s="256"/>
      <c r="BY60" s="256"/>
      <c r="BZ60" s="256"/>
      <c r="CA60" s="274"/>
    </row>
    <row r="61" spans="16:81" ht="12.75" customHeight="1" x14ac:dyDescent="0.2">
      <c r="P61" s="38" t="str">
        <f>Planning!N61</f>
        <v>2 John</v>
      </c>
      <c r="Q61" s="39">
        <f>[1]Planning!Q61</f>
        <v>0</v>
      </c>
      <c r="R61" s="40"/>
      <c r="S61" s="260"/>
      <c r="T61" s="40"/>
      <c r="U61" s="260"/>
      <c r="V61" s="40"/>
      <c r="W61" s="260"/>
      <c r="X61" s="40"/>
      <c r="Y61" s="260"/>
      <c r="Z61" s="40"/>
      <c r="AA61" s="260"/>
      <c r="AB61" s="40"/>
      <c r="AC61" s="260"/>
      <c r="AD61" s="2"/>
      <c r="AE61" s="1"/>
      <c r="AF61" s="1"/>
      <c r="AJ61" s="244"/>
      <c r="AK61" s="244"/>
      <c r="AO61" s="244"/>
      <c r="AP61" s="244"/>
      <c r="AV61" s="41">
        <f>[1]Planning!R61</f>
        <v>0</v>
      </c>
      <c r="AW61" s="42">
        <f>[1]Planning!R61</f>
        <v>0</v>
      </c>
      <c r="AX61" s="41">
        <f>[1]Planning!S61</f>
        <v>0</v>
      </c>
      <c r="AY61" s="42">
        <f>[1]Planning!S61</f>
        <v>0</v>
      </c>
      <c r="AZ61" s="41">
        <f>[1]Planning!T61</f>
        <v>0</v>
      </c>
      <c r="BA61" s="42">
        <f>[1]Planning!T61</f>
        <v>0</v>
      </c>
      <c r="BB61" s="41">
        <f>[1]Planning!U61</f>
        <v>0</v>
      </c>
      <c r="BC61" s="42">
        <f>[1]Planning!U61</f>
        <v>0</v>
      </c>
      <c r="BD61" s="41">
        <f>[1]Planning!V61</f>
        <v>0</v>
      </c>
      <c r="BE61" s="42">
        <f>[1]Planning!V61</f>
        <v>0</v>
      </c>
      <c r="BF61" s="41">
        <f>[1]Planning!W61</f>
        <v>0</v>
      </c>
      <c r="BG61" s="43">
        <f>[1]Planning!W61</f>
        <v>0</v>
      </c>
      <c r="BH61" s="283">
        <f>(BI60&amp;3)*1</f>
        <v>20253</v>
      </c>
      <c r="BI61" s="284"/>
      <c r="BJ61" s="286"/>
      <c r="BK61" s="265">
        <f>IF([1]Planning!AG$27="",,IF($AR$18=1,[1]Planning!AG$27*0.25,[1]Planning!AG$27*0.25*VE))</f>
        <v>0</v>
      </c>
      <c r="BL61" s="272">
        <f t="shared" si="72"/>
        <v>3824.8750000000009</v>
      </c>
      <c r="BM61" s="272" t="e">
        <f>AJ28</f>
        <v>#REF!</v>
      </c>
      <c r="BN61" s="273">
        <f t="shared" si="73"/>
        <v>0</v>
      </c>
      <c r="BW61" s="256"/>
      <c r="BX61" s="256"/>
      <c r="BY61" s="256"/>
      <c r="BZ61" s="256"/>
      <c r="CA61" s="274"/>
    </row>
    <row r="62" spans="16:81" ht="12.75" customHeight="1" thickBot="1" x14ac:dyDescent="0.25">
      <c r="P62" s="38" t="str">
        <f>Planning!N62</f>
        <v>3 John</v>
      </c>
      <c r="Q62" s="39">
        <f>[1]Planning!Q62</f>
        <v>0</v>
      </c>
      <c r="R62" s="40"/>
      <c r="S62" s="260"/>
      <c r="T62" s="40"/>
      <c r="U62" s="260"/>
      <c r="V62" s="40"/>
      <c r="W62" s="260"/>
      <c r="X62" s="40"/>
      <c r="Y62" s="260"/>
      <c r="Z62" s="40"/>
      <c r="AA62" s="260"/>
      <c r="AB62" s="40"/>
      <c r="AC62" s="260"/>
      <c r="AD62" s="2"/>
      <c r="AE62" s="1"/>
      <c r="AF62" s="1"/>
      <c r="AJ62" s="244"/>
      <c r="AK62" s="244"/>
      <c r="AO62" s="244"/>
      <c r="AP62" s="244"/>
      <c r="AV62" s="41">
        <f>[1]Planning!R62</f>
        <v>0</v>
      </c>
      <c r="AW62" s="42">
        <f>[1]Planning!R62</f>
        <v>0</v>
      </c>
      <c r="AX62" s="41">
        <f>[1]Planning!S62</f>
        <v>0</v>
      </c>
      <c r="AY62" s="42">
        <f>[1]Planning!S62</f>
        <v>0</v>
      </c>
      <c r="AZ62" s="41">
        <f>[1]Planning!T62</f>
        <v>0</v>
      </c>
      <c r="BA62" s="42">
        <f>[1]Planning!T62</f>
        <v>0</v>
      </c>
      <c r="BB62" s="41">
        <f>[1]Planning!U62</f>
        <v>0</v>
      </c>
      <c r="BC62" s="42">
        <f>[1]Planning!U62</f>
        <v>0</v>
      </c>
      <c r="BD62" s="41">
        <f>[1]Planning!V62</f>
        <v>0</v>
      </c>
      <c r="BE62" s="42">
        <f>[1]Planning!V62</f>
        <v>0</v>
      </c>
      <c r="BF62" s="41">
        <f>[1]Planning!W62</f>
        <v>0</v>
      </c>
      <c r="BG62" s="43">
        <f>[1]Planning!W62</f>
        <v>0</v>
      </c>
      <c r="BH62" s="277">
        <f>(BI60&amp;4)*1</f>
        <v>20254</v>
      </c>
      <c r="BI62" s="285"/>
      <c r="BJ62" s="286"/>
      <c r="BK62" s="265">
        <f>IF([1]Planning!AG$27="",,IF($AR$18=1,[1]Planning!AG$27*0.25,[1]Planning!AG$27*0.25*VE))</f>
        <v>0</v>
      </c>
      <c r="BL62" s="272">
        <f t="shared" si="72"/>
        <v>3824.8750000000009</v>
      </c>
      <c r="BM62" s="272" t="e">
        <f>AK28</f>
        <v>#REF!</v>
      </c>
      <c r="BN62" s="273">
        <f t="shared" si="73"/>
        <v>0</v>
      </c>
      <c r="BW62" s="256"/>
      <c r="BX62" s="256"/>
      <c r="BY62" s="256"/>
      <c r="BZ62" s="256"/>
      <c r="CA62" s="274"/>
    </row>
    <row r="63" spans="16:81" ht="12.75" customHeight="1" x14ac:dyDescent="0.2">
      <c r="P63" s="38" t="str">
        <f>Planning!N63</f>
        <v>Jude</v>
      </c>
      <c r="Q63" s="39">
        <f>[1]Planning!Q63</f>
        <v>0</v>
      </c>
      <c r="R63" s="40"/>
      <c r="S63" s="260"/>
      <c r="T63" s="40"/>
      <c r="U63" s="260"/>
      <c r="V63" s="40"/>
      <c r="W63" s="260"/>
      <c r="X63" s="40"/>
      <c r="Y63" s="260"/>
      <c r="Z63" s="40"/>
      <c r="AA63" s="260"/>
      <c r="AB63" s="40"/>
      <c r="AC63" s="260"/>
      <c r="AD63" s="2"/>
      <c r="AE63" s="1"/>
      <c r="AF63" s="1"/>
      <c r="AJ63" s="244"/>
      <c r="AK63" s="244"/>
      <c r="AO63" s="244"/>
      <c r="AP63" s="244"/>
      <c r="AV63" s="41">
        <f>[1]Planning!R63</f>
        <v>0</v>
      </c>
      <c r="AW63" s="42">
        <f>[1]Planning!R63</f>
        <v>0</v>
      </c>
      <c r="AX63" s="41">
        <f>[1]Planning!S63</f>
        <v>0</v>
      </c>
      <c r="AY63" s="42">
        <f>[1]Planning!S63</f>
        <v>0</v>
      </c>
      <c r="AZ63" s="41">
        <f>[1]Planning!T63</f>
        <v>0</v>
      </c>
      <c r="BA63" s="42">
        <f>[1]Planning!T63</f>
        <v>0</v>
      </c>
      <c r="BB63" s="41">
        <f>[1]Planning!U63</f>
        <v>0</v>
      </c>
      <c r="BC63" s="42">
        <f>[1]Planning!U63</f>
        <v>0</v>
      </c>
      <c r="BD63" s="41">
        <f>[1]Planning!V63</f>
        <v>0</v>
      </c>
      <c r="BE63" s="42">
        <f>[1]Planning!V63</f>
        <v>0</v>
      </c>
      <c r="BF63" s="41">
        <f>[1]Planning!W63</f>
        <v>0</v>
      </c>
      <c r="BG63" s="43">
        <f>[1]Planning!W63</f>
        <v>0</v>
      </c>
      <c r="BH63" s="279">
        <f>(BI64&amp;1)*1</f>
        <v>20261</v>
      </c>
      <c r="BI63" s="280"/>
      <c r="BJ63" s="286"/>
      <c r="BK63" s="265">
        <f>IF([1]Planning!AG$28="",,IF($AR$18=1,[1]Planning!AG$28*0.25,[1]Planning!AG$28*0.25*VE))</f>
        <v>0</v>
      </c>
      <c r="BL63" s="272">
        <f t="shared" si="72"/>
        <v>3824.8750000000009</v>
      </c>
      <c r="BM63" s="272" t="e">
        <f>AH29</f>
        <v>#REF!</v>
      </c>
      <c r="BN63" s="273">
        <f t="shared" si="73"/>
        <v>0</v>
      </c>
      <c r="BW63" s="256"/>
      <c r="BX63" s="256"/>
      <c r="BY63" s="256"/>
      <c r="BZ63" s="256"/>
      <c r="CA63" s="274"/>
    </row>
    <row r="64" spans="16:81" ht="12.75" customHeight="1" thickBot="1" x14ac:dyDescent="0.25">
      <c r="P64" s="38" t="str">
        <f>Planning!N64</f>
        <v>Revelation</v>
      </c>
      <c r="Q64" s="39">
        <f>[1]Planning!Q64</f>
        <v>0</v>
      </c>
      <c r="R64" s="40"/>
      <c r="S64" s="260"/>
      <c r="T64" s="40"/>
      <c r="U64" s="260"/>
      <c r="V64" s="40"/>
      <c r="W64" s="260"/>
      <c r="X64" s="40"/>
      <c r="Y64" s="260"/>
      <c r="Z64" s="40"/>
      <c r="AA64" s="260"/>
      <c r="AB64" s="40"/>
      <c r="AC64" s="260"/>
      <c r="AD64" s="2"/>
      <c r="AE64" s="1"/>
      <c r="AF64" s="1"/>
      <c r="AJ64" s="244"/>
      <c r="AK64" s="244"/>
      <c r="AO64" s="244"/>
      <c r="AP64" s="244"/>
      <c r="AV64" s="41">
        <f>[1]Planning!R64</f>
        <v>0</v>
      </c>
      <c r="AW64" s="42">
        <f>[1]Planning!R64</f>
        <v>0</v>
      </c>
      <c r="AX64" s="41">
        <f>[1]Planning!S64</f>
        <v>0</v>
      </c>
      <c r="AY64" s="42">
        <f>[1]Planning!S64</f>
        <v>0</v>
      </c>
      <c r="AZ64" s="41">
        <f>[1]Planning!T64</f>
        <v>0</v>
      </c>
      <c r="BA64" s="42">
        <f>[1]Planning!T64</f>
        <v>0</v>
      </c>
      <c r="BB64" s="41">
        <f>[1]Planning!U64</f>
        <v>0</v>
      </c>
      <c r="BC64" s="42">
        <f>[1]Planning!U64</f>
        <v>0</v>
      </c>
      <c r="BD64" s="41">
        <f>[1]Planning!V64</f>
        <v>0</v>
      </c>
      <c r="BE64" s="42">
        <f>[1]Planning!V64</f>
        <v>0</v>
      </c>
      <c r="BF64" s="41">
        <f>[1]Planning!W64</f>
        <v>0</v>
      </c>
      <c r="BG64" s="43">
        <f>[1]Planning!W64</f>
        <v>0</v>
      </c>
      <c r="BH64" s="283">
        <f>(BI64&amp;2)*1</f>
        <v>20262</v>
      </c>
      <c r="BI64" s="284">
        <f>Year10</f>
        <v>2026</v>
      </c>
      <c r="BJ64" s="286"/>
      <c r="BK64" s="265">
        <f>IF([1]Planning!AG$28="",,IF($AR$18=1,[1]Planning!AG$28*0.25,[1]Planning!AG$28*0.25*VE))</f>
        <v>0</v>
      </c>
      <c r="BL64" s="272">
        <f t="shared" si="72"/>
        <v>3824.8750000000009</v>
      </c>
      <c r="BM64" s="272" t="e">
        <f>AI29</f>
        <v>#REF!</v>
      </c>
      <c r="BN64" s="273">
        <f t="shared" si="73"/>
        <v>0</v>
      </c>
      <c r="BW64" s="256"/>
      <c r="BX64" s="256"/>
      <c r="BY64" s="256"/>
      <c r="BZ64" s="256"/>
      <c r="CA64" s="274"/>
    </row>
    <row r="65" spans="16:79" ht="12.75" hidden="1" customHeight="1" thickBot="1" x14ac:dyDescent="0.25">
      <c r="P65" s="56">
        <f>[1]Planning!N65</f>
        <v>0</v>
      </c>
      <c r="Q65" s="39">
        <f>[1]Planning!Q65</f>
        <v>0</v>
      </c>
      <c r="R65" s="40"/>
      <c r="S65" s="260"/>
      <c r="T65" s="40"/>
      <c r="U65" s="260"/>
      <c r="V65" s="40"/>
      <c r="W65" s="260"/>
      <c r="X65" s="40"/>
      <c r="Y65" s="260"/>
      <c r="Z65" s="40"/>
      <c r="AA65" s="260"/>
      <c r="AB65" s="40"/>
      <c r="AC65" s="260"/>
      <c r="AD65" s="2"/>
      <c r="AE65" s="1"/>
      <c r="AF65" s="1"/>
      <c r="AJ65" s="244"/>
      <c r="AK65" s="244"/>
      <c r="AO65" s="244"/>
      <c r="AP65" s="244"/>
      <c r="AV65" s="41">
        <f>[1]Planning!R65</f>
        <v>0</v>
      </c>
      <c r="AW65" s="42">
        <f>[1]Planning!R65</f>
        <v>0</v>
      </c>
      <c r="AX65" s="41">
        <f>[1]Planning!S65</f>
        <v>0</v>
      </c>
      <c r="AY65" s="42">
        <f>[1]Planning!S65</f>
        <v>0</v>
      </c>
      <c r="AZ65" s="41">
        <f>[1]Planning!T65</f>
        <v>0</v>
      </c>
      <c r="BA65" s="42">
        <f>[1]Planning!T65</f>
        <v>0</v>
      </c>
      <c r="BB65" s="41">
        <f>[1]Planning!U65</f>
        <v>0</v>
      </c>
      <c r="BC65" s="42">
        <f>[1]Planning!U65</f>
        <v>0</v>
      </c>
      <c r="BD65" s="41">
        <f>[1]Planning!V65</f>
        <v>0</v>
      </c>
      <c r="BE65" s="42">
        <f>[1]Planning!V65</f>
        <v>0</v>
      </c>
      <c r="BF65" s="41">
        <f>[1]Planning!W65</f>
        <v>0</v>
      </c>
      <c r="BG65" s="43">
        <f>[1]Planning!W65</f>
        <v>0</v>
      </c>
      <c r="BH65" s="283">
        <f>(BI64&amp;3)*1</f>
        <v>20263</v>
      </c>
      <c r="BI65" s="284"/>
      <c r="BJ65" s="286"/>
      <c r="BK65" s="265">
        <f>IF([1]Planning!AG$28="",,IF($AR$18=1,[1]Planning!AG$28*0.25,[1]Planning!AG$28*0.25*VE))</f>
        <v>0</v>
      </c>
      <c r="BL65" s="272">
        <f t="shared" si="72"/>
        <v>3824.8750000000009</v>
      </c>
      <c r="BM65" s="272" t="e">
        <f>AJ29</f>
        <v>#REF!</v>
      </c>
      <c r="BN65" s="273">
        <f t="shared" si="73"/>
        <v>0</v>
      </c>
      <c r="BW65" s="256"/>
      <c r="BX65" s="256"/>
      <c r="BY65" s="256"/>
      <c r="BZ65" s="256"/>
      <c r="CA65" s="274"/>
    </row>
    <row r="66" spans="16:79" ht="12.75" hidden="1" customHeight="1" thickBot="1" x14ac:dyDescent="0.25">
      <c r="P66" s="56">
        <f>[1]Planning!N66</f>
        <v>0</v>
      </c>
      <c r="Q66" s="39">
        <f>[1]Planning!Q66</f>
        <v>0</v>
      </c>
      <c r="R66" s="40"/>
      <c r="S66" s="260"/>
      <c r="T66" s="40"/>
      <c r="U66" s="260"/>
      <c r="V66" s="40"/>
      <c r="W66" s="260"/>
      <c r="X66" s="40"/>
      <c r="Y66" s="260"/>
      <c r="Z66" s="40"/>
      <c r="AA66" s="260"/>
      <c r="AB66" s="40"/>
      <c r="AC66" s="260"/>
      <c r="AD66" s="2"/>
      <c r="AE66" s="1"/>
      <c r="AF66" s="1"/>
      <c r="AJ66" s="244"/>
      <c r="AK66" s="244"/>
      <c r="AO66" s="244"/>
      <c r="AP66" s="244"/>
      <c r="AV66" s="41">
        <f>[1]Planning!R66</f>
        <v>0</v>
      </c>
      <c r="AW66" s="42">
        <f>[1]Planning!R66</f>
        <v>0</v>
      </c>
      <c r="AX66" s="41">
        <f>[1]Planning!S66</f>
        <v>0</v>
      </c>
      <c r="AY66" s="42">
        <f>[1]Planning!S66</f>
        <v>0</v>
      </c>
      <c r="AZ66" s="41">
        <f>[1]Planning!T66</f>
        <v>0</v>
      </c>
      <c r="BA66" s="42">
        <f>[1]Planning!T66</f>
        <v>0</v>
      </c>
      <c r="BB66" s="41">
        <f>[1]Planning!U66</f>
        <v>0</v>
      </c>
      <c r="BC66" s="42">
        <f>[1]Planning!U66</f>
        <v>0</v>
      </c>
      <c r="BD66" s="41">
        <f>[1]Planning!V66</f>
        <v>0</v>
      </c>
      <c r="BE66" s="42">
        <f>[1]Planning!V66</f>
        <v>0</v>
      </c>
      <c r="BF66" s="41">
        <f>[1]Planning!W66</f>
        <v>0</v>
      </c>
      <c r="BG66" s="43">
        <f>[1]Planning!W66</f>
        <v>0</v>
      </c>
      <c r="BH66" s="277">
        <f>(BI64&amp;4)*1</f>
        <v>20264</v>
      </c>
      <c r="BI66" s="285"/>
      <c r="BJ66" s="286"/>
      <c r="BK66" s="265">
        <f>IF([1]Planning!AG$28="",,IF($AR$18=1,[1]Planning!AG$28*0.25,[1]Planning!AG$28*0.25*VE))</f>
        <v>0</v>
      </c>
      <c r="BL66" s="272">
        <f t="shared" si="72"/>
        <v>3824.8750000000009</v>
      </c>
      <c r="BM66" s="272" t="e">
        <f>AK29</f>
        <v>#REF!</v>
      </c>
      <c r="BN66" s="273">
        <f t="shared" si="73"/>
        <v>0</v>
      </c>
      <c r="BW66" s="256"/>
      <c r="BX66" s="256"/>
      <c r="BY66" s="256"/>
      <c r="BZ66" s="256"/>
      <c r="CA66" s="274"/>
    </row>
    <row r="67" spans="16:79" ht="12.75" hidden="1" customHeight="1" thickBot="1" x14ac:dyDescent="0.25">
      <c r="P67" s="56">
        <f>[1]Planning!N67</f>
        <v>0</v>
      </c>
      <c r="Q67" s="39">
        <f>[1]Planning!Q67</f>
        <v>0</v>
      </c>
      <c r="R67" s="40"/>
      <c r="S67" s="260"/>
      <c r="T67" s="40"/>
      <c r="U67" s="260"/>
      <c r="V67" s="40"/>
      <c r="W67" s="260"/>
      <c r="X67" s="40"/>
      <c r="Y67" s="260"/>
      <c r="Z67" s="40"/>
      <c r="AA67" s="260"/>
      <c r="AB67" s="40"/>
      <c r="AC67" s="260"/>
      <c r="AD67" s="2"/>
      <c r="AE67" s="1"/>
      <c r="AF67" s="1"/>
      <c r="AJ67" s="244"/>
      <c r="AK67" s="244"/>
      <c r="AO67" s="244"/>
      <c r="AP67" s="244"/>
      <c r="AV67" s="41">
        <f>[1]Planning!R67</f>
        <v>0</v>
      </c>
      <c r="AW67" s="42">
        <f>[1]Planning!R67</f>
        <v>0</v>
      </c>
      <c r="AX67" s="41">
        <f>[1]Planning!S67</f>
        <v>0</v>
      </c>
      <c r="AY67" s="42">
        <f>[1]Planning!S67</f>
        <v>0</v>
      </c>
      <c r="AZ67" s="41">
        <f>[1]Planning!T67</f>
        <v>0</v>
      </c>
      <c r="BA67" s="42">
        <f>[1]Planning!T67</f>
        <v>0</v>
      </c>
      <c r="BB67" s="41">
        <f>[1]Planning!U67</f>
        <v>0</v>
      </c>
      <c r="BC67" s="42">
        <f>[1]Planning!U67</f>
        <v>0</v>
      </c>
      <c r="BD67" s="41">
        <f>[1]Planning!V67</f>
        <v>0</v>
      </c>
      <c r="BE67" s="42">
        <f>[1]Planning!V67</f>
        <v>0</v>
      </c>
      <c r="BF67" s="41">
        <f>[1]Planning!W67</f>
        <v>0</v>
      </c>
      <c r="BG67" s="43">
        <f>[1]Planning!W67</f>
        <v>0</v>
      </c>
      <c r="BH67" s="279">
        <f>(BI68&amp;1)*1</f>
        <v>20271</v>
      </c>
      <c r="BI67" s="280"/>
      <c r="BJ67" s="286"/>
      <c r="BK67" s="265">
        <f>IF([1]Planning!AG$29="",,IF($AR$18=1,[1]Planning!AG$29*0.25,[1]Planning!AG$29*0.25*VE))</f>
        <v>0</v>
      </c>
      <c r="BL67" s="272">
        <f t="shared" si="72"/>
        <v>3824.8750000000009</v>
      </c>
      <c r="BM67" s="272" t="e">
        <f>AH30</f>
        <v>#REF!</v>
      </c>
      <c r="BN67" s="273">
        <f t="shared" si="73"/>
        <v>0</v>
      </c>
      <c r="BW67" s="256"/>
      <c r="BX67" s="256"/>
      <c r="BY67" s="256"/>
      <c r="BZ67" s="256"/>
      <c r="CA67" s="274"/>
    </row>
    <row r="68" spans="16:79" ht="12.75" hidden="1" customHeight="1" thickBot="1" x14ac:dyDescent="0.25">
      <c r="P68" s="56">
        <f>[1]Planning!N68</f>
        <v>0</v>
      </c>
      <c r="Q68" s="39">
        <f>[1]Planning!Q68</f>
        <v>0</v>
      </c>
      <c r="R68" s="40"/>
      <c r="S68" s="260"/>
      <c r="T68" s="40"/>
      <c r="U68" s="260"/>
      <c r="V68" s="40"/>
      <c r="W68" s="260"/>
      <c r="X68" s="40"/>
      <c r="Y68" s="260"/>
      <c r="Z68" s="40"/>
      <c r="AA68" s="260"/>
      <c r="AB68" s="40"/>
      <c r="AC68" s="260"/>
      <c r="AD68" s="2"/>
      <c r="AE68" s="1"/>
      <c r="AF68" s="1"/>
      <c r="AJ68" s="244"/>
      <c r="AK68" s="244"/>
      <c r="AO68" s="244"/>
      <c r="AP68" s="244"/>
      <c r="AV68" s="41">
        <f>[1]Planning!R68</f>
        <v>0</v>
      </c>
      <c r="AW68" s="42">
        <f>[1]Planning!R68</f>
        <v>0</v>
      </c>
      <c r="AX68" s="41">
        <f>[1]Planning!S68</f>
        <v>0</v>
      </c>
      <c r="AY68" s="42">
        <f>[1]Planning!S68</f>
        <v>0</v>
      </c>
      <c r="AZ68" s="41">
        <f>[1]Planning!T68</f>
        <v>0</v>
      </c>
      <c r="BA68" s="42">
        <f>[1]Planning!T68</f>
        <v>0</v>
      </c>
      <c r="BB68" s="41">
        <f>[1]Planning!U68</f>
        <v>0</v>
      </c>
      <c r="BC68" s="42">
        <f>[1]Planning!U68</f>
        <v>0</v>
      </c>
      <c r="BD68" s="41">
        <f>[1]Planning!V68</f>
        <v>0</v>
      </c>
      <c r="BE68" s="42">
        <f>[1]Planning!V68</f>
        <v>0</v>
      </c>
      <c r="BF68" s="41">
        <f>[1]Planning!W68</f>
        <v>0</v>
      </c>
      <c r="BG68" s="43">
        <f>[1]Planning!W68</f>
        <v>0</v>
      </c>
      <c r="BH68" s="283">
        <f>(BI68&amp;2)*1</f>
        <v>20272</v>
      </c>
      <c r="BI68" s="284">
        <f>Year11</f>
        <v>2027</v>
      </c>
      <c r="BJ68" s="286"/>
      <c r="BK68" s="265">
        <f>IF([1]Planning!AG$29="",,IF($AR$18=1,[1]Planning!AG$29*0.25,[1]Planning!AG$29*0.25*VE))</f>
        <v>0</v>
      </c>
      <c r="BL68" s="272">
        <f t="shared" si="72"/>
        <v>3824.8750000000009</v>
      </c>
      <c r="BM68" s="272" t="e">
        <f>AI30</f>
        <v>#REF!</v>
      </c>
      <c r="BN68" s="273">
        <f t="shared" si="73"/>
        <v>0</v>
      </c>
      <c r="BW68" s="256"/>
      <c r="BX68" s="256"/>
      <c r="BY68" s="256"/>
      <c r="BZ68" s="256"/>
      <c r="CA68" s="274"/>
    </row>
    <row r="69" spans="16:79" ht="12.75" hidden="1" customHeight="1" thickBot="1" x14ac:dyDescent="0.25">
      <c r="P69" s="56">
        <f>[1]Planning!N69</f>
        <v>0</v>
      </c>
      <c r="Q69" s="39">
        <f>[1]Planning!Q69</f>
        <v>0</v>
      </c>
      <c r="R69" s="40"/>
      <c r="S69" s="260"/>
      <c r="T69" s="40"/>
      <c r="U69" s="260"/>
      <c r="V69" s="40"/>
      <c r="W69" s="260"/>
      <c r="X69" s="40"/>
      <c r="Y69" s="260"/>
      <c r="Z69" s="40"/>
      <c r="AA69" s="260"/>
      <c r="AB69" s="40"/>
      <c r="AC69" s="260"/>
      <c r="AD69" s="2"/>
      <c r="AF69" s="275"/>
      <c r="AJ69" s="244"/>
      <c r="AK69" s="244"/>
      <c r="AO69" s="244"/>
      <c r="AP69" s="244"/>
      <c r="AV69" s="41">
        <f>[1]Planning!R69</f>
        <v>0</v>
      </c>
      <c r="AW69" s="42">
        <f>[1]Planning!R69</f>
        <v>0</v>
      </c>
      <c r="AX69" s="41">
        <f>[1]Planning!S69</f>
        <v>0</v>
      </c>
      <c r="AY69" s="42">
        <f>[1]Planning!S69</f>
        <v>0</v>
      </c>
      <c r="AZ69" s="41">
        <f>[1]Planning!T69</f>
        <v>0</v>
      </c>
      <c r="BA69" s="42">
        <f>[1]Planning!T69</f>
        <v>0</v>
      </c>
      <c r="BB69" s="41">
        <f>[1]Planning!U69</f>
        <v>0</v>
      </c>
      <c r="BC69" s="42">
        <f>[1]Planning!U69</f>
        <v>0</v>
      </c>
      <c r="BD69" s="41">
        <f>[1]Planning!V69</f>
        <v>0</v>
      </c>
      <c r="BE69" s="42">
        <f>[1]Planning!V69</f>
        <v>0</v>
      </c>
      <c r="BF69" s="41">
        <f>[1]Planning!W69</f>
        <v>0</v>
      </c>
      <c r="BG69" s="43">
        <f>[1]Planning!W69</f>
        <v>0</v>
      </c>
      <c r="BH69" s="283">
        <f>(BI68&amp;3)*1</f>
        <v>20273</v>
      </c>
      <c r="BI69" s="284"/>
      <c r="BJ69" s="286"/>
      <c r="BK69" s="265">
        <f>IF([1]Planning!AG$29="",,IF($AR$18=1,[1]Planning!AG$29*0.25,[1]Planning!AG$29*0.25*VE))</f>
        <v>0</v>
      </c>
      <c r="BL69" s="272">
        <f t="shared" si="72"/>
        <v>3824.8750000000009</v>
      </c>
      <c r="BM69" s="272" t="e">
        <f>AJ30</f>
        <v>#REF!</v>
      </c>
      <c r="BN69" s="273">
        <f t="shared" si="73"/>
        <v>0</v>
      </c>
      <c r="BW69" s="256"/>
      <c r="BX69" s="256"/>
      <c r="BY69" s="256"/>
      <c r="BZ69" s="256"/>
      <c r="CA69" s="274"/>
    </row>
    <row r="70" spans="16:79" ht="12.75" hidden="1" customHeight="1" thickBot="1" x14ac:dyDescent="0.25">
      <c r="P70" s="56">
        <f>[1]Planning!N70</f>
        <v>0</v>
      </c>
      <c r="Q70" s="39">
        <f>[1]Planning!Q70</f>
        <v>0</v>
      </c>
      <c r="R70" s="40"/>
      <c r="S70" s="260"/>
      <c r="T70" s="40"/>
      <c r="U70" s="260"/>
      <c r="V70" s="40"/>
      <c r="W70" s="260"/>
      <c r="X70" s="40"/>
      <c r="Y70" s="260"/>
      <c r="Z70" s="40"/>
      <c r="AA70" s="260"/>
      <c r="AB70" s="40"/>
      <c r="AC70" s="260"/>
      <c r="AD70" s="2"/>
      <c r="AF70" s="275"/>
      <c r="AJ70" s="244"/>
      <c r="AK70" s="244"/>
      <c r="AO70" s="275"/>
      <c r="AP70" s="244"/>
      <c r="AV70" s="41">
        <f>[1]Planning!R70</f>
        <v>0</v>
      </c>
      <c r="AW70" s="42">
        <f>[1]Planning!R70</f>
        <v>0</v>
      </c>
      <c r="AX70" s="41">
        <f>[1]Planning!S70</f>
        <v>0</v>
      </c>
      <c r="AY70" s="42">
        <f>[1]Planning!S70</f>
        <v>0</v>
      </c>
      <c r="AZ70" s="41">
        <f>[1]Planning!T70</f>
        <v>0</v>
      </c>
      <c r="BA70" s="42">
        <f>[1]Planning!T70</f>
        <v>0</v>
      </c>
      <c r="BB70" s="41">
        <f>[1]Planning!U70</f>
        <v>0</v>
      </c>
      <c r="BC70" s="42">
        <f>[1]Planning!U70</f>
        <v>0</v>
      </c>
      <c r="BD70" s="41">
        <f>[1]Planning!V70</f>
        <v>0</v>
      </c>
      <c r="BE70" s="42">
        <f>[1]Planning!V70</f>
        <v>0</v>
      </c>
      <c r="BF70" s="41">
        <f>[1]Planning!W70</f>
        <v>0</v>
      </c>
      <c r="BG70" s="43">
        <f>[1]Planning!W70</f>
        <v>0</v>
      </c>
      <c r="BH70" s="277">
        <f>(BI68&amp;4)*1</f>
        <v>20274</v>
      </c>
      <c r="BI70" s="285"/>
      <c r="BJ70" s="286"/>
      <c r="BK70" s="265">
        <f>IF([1]Planning!AG$29="",,IF($AR$18=1,[1]Planning!AG$29*0.25,[1]Planning!AG$29*0.25*VE))</f>
        <v>0</v>
      </c>
      <c r="BL70" s="272">
        <f t="shared" si="72"/>
        <v>3824.8750000000009</v>
      </c>
      <c r="BM70" s="272" t="e">
        <f>AK30</f>
        <v>#REF!</v>
      </c>
      <c r="BN70" s="273">
        <f t="shared" si="73"/>
        <v>0</v>
      </c>
      <c r="BW70" s="256"/>
      <c r="BX70" s="256"/>
      <c r="BY70" s="256"/>
      <c r="BZ70" s="256"/>
      <c r="CA70" s="274"/>
    </row>
    <row r="71" spans="16:79" ht="12.75" hidden="1" customHeight="1" thickBot="1" x14ac:dyDescent="0.25">
      <c r="P71" s="56">
        <f>[1]Planning!N71</f>
        <v>0</v>
      </c>
      <c r="Q71" s="39">
        <f>[1]Planning!Q71</f>
        <v>0</v>
      </c>
      <c r="R71" s="40"/>
      <c r="S71" s="260"/>
      <c r="T71" s="40"/>
      <c r="U71" s="260"/>
      <c r="V71" s="40"/>
      <c r="W71" s="260"/>
      <c r="X71" s="40"/>
      <c r="Y71" s="260"/>
      <c r="Z71" s="40"/>
      <c r="AA71" s="260"/>
      <c r="AB71" s="40"/>
      <c r="AC71" s="260"/>
      <c r="AD71" s="2"/>
      <c r="AF71" s="275"/>
      <c r="AJ71" s="244"/>
      <c r="AK71" s="244"/>
      <c r="AO71" s="244"/>
      <c r="AP71" s="244"/>
      <c r="AV71" s="41">
        <f>[1]Planning!R71</f>
        <v>0</v>
      </c>
      <c r="AW71" s="42">
        <f>[1]Planning!R71</f>
        <v>0</v>
      </c>
      <c r="AX71" s="41">
        <f>[1]Planning!S71</f>
        <v>0</v>
      </c>
      <c r="AY71" s="42">
        <f>[1]Planning!S71</f>
        <v>0</v>
      </c>
      <c r="AZ71" s="41">
        <f>[1]Planning!T71</f>
        <v>0</v>
      </c>
      <c r="BA71" s="42">
        <f>[1]Planning!T71</f>
        <v>0</v>
      </c>
      <c r="BB71" s="41">
        <f>[1]Planning!U71</f>
        <v>0</v>
      </c>
      <c r="BC71" s="42">
        <f>[1]Planning!U71</f>
        <v>0</v>
      </c>
      <c r="BD71" s="41">
        <f>[1]Planning!V71</f>
        <v>0</v>
      </c>
      <c r="BE71" s="42">
        <f>[1]Planning!V71</f>
        <v>0</v>
      </c>
      <c r="BF71" s="41">
        <f>[1]Planning!W71</f>
        <v>0</v>
      </c>
      <c r="BG71" s="43">
        <f>[1]Planning!W71</f>
        <v>0</v>
      </c>
      <c r="BH71" s="279">
        <f>(BI72&amp;1)*1</f>
        <v>20281</v>
      </c>
      <c r="BI71" s="280"/>
      <c r="BJ71" s="286"/>
      <c r="BK71" s="265">
        <f>IF([1]Planning!AG$30="",,IF($AR$18=1,[1]Planning!AG$30*0.25,[1]Planning!AG$30*0.25*VE))</f>
        <v>0</v>
      </c>
      <c r="BL71" s="272">
        <f t="shared" si="72"/>
        <v>3824.8750000000009</v>
      </c>
      <c r="BM71" s="272" t="e">
        <f>AH31</f>
        <v>#REF!</v>
      </c>
      <c r="BN71" s="273">
        <f t="shared" si="73"/>
        <v>0</v>
      </c>
      <c r="BW71" s="256"/>
      <c r="BX71" s="256"/>
      <c r="BY71" s="256"/>
      <c r="BZ71" s="256"/>
      <c r="CA71" s="274"/>
    </row>
    <row r="72" spans="16:79" ht="12.75" hidden="1" customHeight="1" thickBot="1" x14ac:dyDescent="0.25">
      <c r="P72" s="56">
        <f>[1]Planning!N72</f>
        <v>0</v>
      </c>
      <c r="Q72" s="39">
        <f>[1]Planning!Q72</f>
        <v>0</v>
      </c>
      <c r="R72" s="40"/>
      <c r="S72" s="260"/>
      <c r="T72" s="40"/>
      <c r="U72" s="260"/>
      <c r="V72" s="40"/>
      <c r="W72" s="260"/>
      <c r="X72" s="40"/>
      <c r="Y72" s="260"/>
      <c r="Z72" s="40"/>
      <c r="AA72" s="260"/>
      <c r="AB72" s="40"/>
      <c r="AC72" s="260"/>
      <c r="AD72" s="2"/>
      <c r="AF72" s="275"/>
      <c r="AJ72" s="244"/>
      <c r="AK72" s="244"/>
      <c r="AO72" s="244"/>
      <c r="AP72" s="244"/>
      <c r="AV72" s="41">
        <f>[1]Planning!R72</f>
        <v>0</v>
      </c>
      <c r="AW72" s="42">
        <f>[1]Planning!R72</f>
        <v>0</v>
      </c>
      <c r="AX72" s="41">
        <f>[1]Planning!S72</f>
        <v>0</v>
      </c>
      <c r="AY72" s="42">
        <f>[1]Planning!S72</f>
        <v>0</v>
      </c>
      <c r="AZ72" s="41">
        <f>[1]Planning!T72</f>
        <v>0</v>
      </c>
      <c r="BA72" s="42">
        <f>[1]Planning!T72</f>
        <v>0</v>
      </c>
      <c r="BB72" s="41">
        <f>[1]Planning!U72</f>
        <v>0</v>
      </c>
      <c r="BC72" s="42">
        <f>[1]Planning!U72</f>
        <v>0</v>
      </c>
      <c r="BD72" s="41">
        <f>[1]Planning!V72</f>
        <v>0</v>
      </c>
      <c r="BE72" s="42">
        <f>[1]Planning!V72</f>
        <v>0</v>
      </c>
      <c r="BF72" s="41">
        <f>[1]Planning!W72</f>
        <v>0</v>
      </c>
      <c r="BG72" s="43">
        <f>[1]Planning!W72</f>
        <v>0</v>
      </c>
      <c r="BH72" s="283">
        <f>(BI72&amp;2)*1</f>
        <v>20282</v>
      </c>
      <c r="BI72" s="284">
        <f>Year12</f>
        <v>2028</v>
      </c>
      <c r="BJ72" s="286"/>
      <c r="BK72" s="265">
        <f>IF([1]Planning!AG$30="",,IF($AR$18=1,[1]Planning!AG$30*0.25,[1]Planning!AG$30*0.25*VE))</f>
        <v>0</v>
      </c>
      <c r="BL72" s="272">
        <f t="shared" si="72"/>
        <v>3824.8750000000009</v>
      </c>
      <c r="BM72" s="272" t="e">
        <f>AI31</f>
        <v>#REF!</v>
      </c>
      <c r="BN72" s="273">
        <f t="shared" si="73"/>
        <v>0</v>
      </c>
      <c r="BW72" s="256"/>
      <c r="BX72" s="256"/>
      <c r="BY72" s="256"/>
      <c r="BZ72" s="256"/>
      <c r="CA72" s="274"/>
    </row>
    <row r="73" spans="16:79" ht="12.75" hidden="1" customHeight="1" thickBot="1" x14ac:dyDescent="0.25">
      <c r="P73" s="56">
        <f>[1]Planning!N73</f>
        <v>0</v>
      </c>
      <c r="Q73" s="39">
        <f>[1]Planning!Q73</f>
        <v>0</v>
      </c>
      <c r="R73" s="40"/>
      <c r="S73" s="260"/>
      <c r="T73" s="40"/>
      <c r="U73" s="260"/>
      <c r="V73" s="40"/>
      <c r="W73" s="260"/>
      <c r="X73" s="40"/>
      <c r="Y73" s="260"/>
      <c r="Z73" s="40"/>
      <c r="AA73" s="260"/>
      <c r="AB73" s="40"/>
      <c r="AC73" s="260"/>
      <c r="AD73" s="2"/>
      <c r="AJ73" s="244"/>
      <c r="AK73" s="244"/>
      <c r="AO73" s="244"/>
      <c r="AP73" s="244"/>
      <c r="AV73" s="41">
        <f>[1]Planning!R73</f>
        <v>0</v>
      </c>
      <c r="AW73" s="42">
        <f>[1]Planning!R73</f>
        <v>0</v>
      </c>
      <c r="AX73" s="41">
        <f>[1]Planning!S73</f>
        <v>0</v>
      </c>
      <c r="AY73" s="42">
        <f>[1]Planning!S73</f>
        <v>0</v>
      </c>
      <c r="AZ73" s="41">
        <f>[1]Planning!T73</f>
        <v>0</v>
      </c>
      <c r="BA73" s="42">
        <f>[1]Planning!T73</f>
        <v>0</v>
      </c>
      <c r="BB73" s="41">
        <f>[1]Planning!U73</f>
        <v>0</v>
      </c>
      <c r="BC73" s="42">
        <f>[1]Planning!U73</f>
        <v>0</v>
      </c>
      <c r="BD73" s="41">
        <f>[1]Planning!V73</f>
        <v>0</v>
      </c>
      <c r="BE73" s="42">
        <f>[1]Planning!V73</f>
        <v>0</v>
      </c>
      <c r="BF73" s="41">
        <f>[1]Planning!W73</f>
        <v>0</v>
      </c>
      <c r="BG73" s="43">
        <f>[1]Planning!W73</f>
        <v>0</v>
      </c>
      <c r="BH73" s="283">
        <f>(BI72&amp;3)*1</f>
        <v>20283</v>
      </c>
      <c r="BI73" s="284"/>
      <c r="BJ73" s="286"/>
      <c r="BK73" s="265">
        <f>IF([1]Planning!AG$30="",,IF($AR$18=1,[1]Planning!AG$30*0.25,[1]Planning!AG$30*0.25*VE))</f>
        <v>0</v>
      </c>
      <c r="BL73" s="272">
        <f t="shared" si="72"/>
        <v>3824.8750000000009</v>
      </c>
      <c r="BM73" s="272" t="e">
        <f>AJ31</f>
        <v>#REF!</v>
      </c>
      <c r="BN73" s="273">
        <f t="shared" si="73"/>
        <v>0</v>
      </c>
      <c r="BW73" s="256"/>
      <c r="BX73" s="256"/>
      <c r="BY73" s="256"/>
      <c r="BZ73" s="256"/>
      <c r="CA73" s="274"/>
    </row>
    <row r="74" spans="16:79" ht="12.75" hidden="1" customHeight="1" thickBot="1" x14ac:dyDescent="0.25">
      <c r="P74" s="56">
        <f>[1]Planning!N74</f>
        <v>0</v>
      </c>
      <c r="Q74" s="39">
        <f>[1]Planning!Q74</f>
        <v>0</v>
      </c>
      <c r="R74" s="40"/>
      <c r="S74" s="260"/>
      <c r="T74" s="40"/>
      <c r="U74" s="260"/>
      <c r="V74" s="40"/>
      <c r="W74" s="260"/>
      <c r="X74" s="40"/>
      <c r="Y74" s="260"/>
      <c r="Z74" s="40"/>
      <c r="AA74" s="260"/>
      <c r="AB74" s="40"/>
      <c r="AC74" s="260"/>
      <c r="AD74" s="2"/>
      <c r="AJ74" s="244"/>
      <c r="AK74" s="244"/>
      <c r="AO74" s="244"/>
      <c r="AP74" s="244"/>
      <c r="AV74" s="41">
        <f>[1]Planning!R74</f>
        <v>0</v>
      </c>
      <c r="AW74" s="42">
        <f>[1]Planning!R74</f>
        <v>0</v>
      </c>
      <c r="AX74" s="41">
        <f>[1]Planning!S74</f>
        <v>0</v>
      </c>
      <c r="AY74" s="42">
        <f>[1]Planning!S74</f>
        <v>0</v>
      </c>
      <c r="AZ74" s="41">
        <f>[1]Planning!T74</f>
        <v>0</v>
      </c>
      <c r="BA74" s="42">
        <f>[1]Planning!T74</f>
        <v>0</v>
      </c>
      <c r="BB74" s="41">
        <f>[1]Planning!U74</f>
        <v>0</v>
      </c>
      <c r="BC74" s="42">
        <f>[1]Planning!U74</f>
        <v>0</v>
      </c>
      <c r="BD74" s="41">
        <f>[1]Planning!V74</f>
        <v>0</v>
      </c>
      <c r="BE74" s="42">
        <f>[1]Planning!V74</f>
        <v>0</v>
      </c>
      <c r="BF74" s="41">
        <f>[1]Planning!W74</f>
        <v>0</v>
      </c>
      <c r="BG74" s="43">
        <f>[1]Planning!W74</f>
        <v>0</v>
      </c>
      <c r="BH74" s="277">
        <f>(BI72&amp;4)*1</f>
        <v>20284</v>
      </c>
      <c r="BI74" s="285"/>
      <c r="BJ74" s="286"/>
      <c r="BK74" s="265">
        <f>IF([1]Planning!AG$30="",,IF($AR$18=1,[1]Planning!AG$30*0.25,[1]Planning!AG$30*0.25*VE))</f>
        <v>0</v>
      </c>
      <c r="BL74" s="272">
        <f t="shared" si="72"/>
        <v>3824.8750000000009</v>
      </c>
      <c r="BM74" s="272" t="e">
        <f>AK31</f>
        <v>#REF!</v>
      </c>
      <c r="BN74" s="273">
        <f t="shared" si="73"/>
        <v>0</v>
      </c>
      <c r="BW74" s="256"/>
      <c r="BX74" s="256"/>
      <c r="BY74" s="256"/>
      <c r="BZ74" s="256"/>
      <c r="CA74" s="274"/>
    </row>
    <row r="75" spans="16:79" ht="12.75" hidden="1" customHeight="1" thickBot="1" x14ac:dyDescent="0.25">
      <c r="P75" s="56">
        <f>[1]Planning!N75</f>
        <v>0</v>
      </c>
      <c r="Q75" s="39">
        <f>[1]Planning!Q75</f>
        <v>0</v>
      </c>
      <c r="R75" s="40"/>
      <c r="S75" s="260"/>
      <c r="T75" s="40"/>
      <c r="U75" s="260"/>
      <c r="V75" s="40"/>
      <c r="W75" s="260"/>
      <c r="X75" s="40"/>
      <c r="Y75" s="260"/>
      <c r="Z75" s="40"/>
      <c r="AA75" s="260"/>
      <c r="AB75" s="40"/>
      <c r="AC75" s="260"/>
      <c r="AD75" s="2"/>
      <c r="AJ75" s="244"/>
      <c r="AK75" s="244"/>
      <c r="AO75" s="244"/>
      <c r="AP75" s="244"/>
      <c r="AV75" s="41">
        <f>[1]Planning!R75</f>
        <v>0</v>
      </c>
      <c r="AW75" s="42">
        <f>[1]Planning!R75</f>
        <v>0</v>
      </c>
      <c r="AX75" s="41">
        <f>[1]Planning!S75</f>
        <v>0</v>
      </c>
      <c r="AY75" s="42">
        <f>[1]Planning!S75</f>
        <v>0</v>
      </c>
      <c r="AZ75" s="41">
        <f>[1]Planning!T75</f>
        <v>0</v>
      </c>
      <c r="BA75" s="42">
        <f>[1]Planning!T75</f>
        <v>0</v>
      </c>
      <c r="BB75" s="41">
        <f>[1]Planning!U75</f>
        <v>0</v>
      </c>
      <c r="BC75" s="42">
        <f>[1]Planning!U75</f>
        <v>0</v>
      </c>
      <c r="BD75" s="41">
        <f>[1]Planning!V75</f>
        <v>0</v>
      </c>
      <c r="BE75" s="42">
        <f>[1]Planning!V75</f>
        <v>0</v>
      </c>
      <c r="BF75" s="41">
        <f>[1]Planning!W75</f>
        <v>0</v>
      </c>
      <c r="BG75" s="43">
        <f>[1]Planning!W75</f>
        <v>0</v>
      </c>
      <c r="BH75" s="279">
        <f>(BI76&amp;1)*1</f>
        <v>20291</v>
      </c>
      <c r="BI75" s="280"/>
      <c r="BJ75" s="286"/>
      <c r="BK75" s="265">
        <f>IF([1]Planning!AG$31="",,IF($AR$18=1,[1]Planning!AG$31*0.25,[1]Planning!AG$31*0.25*VE))</f>
        <v>0</v>
      </c>
      <c r="BL75" s="272">
        <f t="shared" si="72"/>
        <v>3824.8750000000009</v>
      </c>
      <c r="BM75" s="272" t="e">
        <f>AH32</f>
        <v>#REF!</v>
      </c>
      <c r="BN75" s="273">
        <f t="shared" si="73"/>
        <v>0</v>
      </c>
      <c r="BW75" s="256"/>
      <c r="BX75" s="256"/>
      <c r="BY75" s="256"/>
      <c r="BZ75" s="256"/>
      <c r="CA75" s="274"/>
    </row>
    <row r="76" spans="16:79" ht="12.75" hidden="1" customHeight="1" thickBot="1" x14ac:dyDescent="0.25">
      <c r="P76" s="56">
        <f>[1]Planning!N76</f>
        <v>0</v>
      </c>
      <c r="Q76" s="39">
        <f>[1]Planning!Q76</f>
        <v>0</v>
      </c>
      <c r="R76" s="40"/>
      <c r="S76" s="260"/>
      <c r="T76" s="40"/>
      <c r="U76" s="260"/>
      <c r="V76" s="40"/>
      <c r="W76" s="260"/>
      <c r="X76" s="40"/>
      <c r="Y76" s="260"/>
      <c r="Z76" s="40"/>
      <c r="AA76" s="260"/>
      <c r="AB76" s="40"/>
      <c r="AC76" s="260"/>
      <c r="AD76" s="2"/>
      <c r="AJ76" s="244"/>
      <c r="AK76" s="244"/>
      <c r="AO76" s="244"/>
      <c r="AP76" s="244"/>
      <c r="AV76" s="41">
        <f>[1]Planning!R76</f>
        <v>0</v>
      </c>
      <c r="AW76" s="42">
        <f>[1]Planning!R76</f>
        <v>0</v>
      </c>
      <c r="AX76" s="41">
        <f>[1]Planning!S76</f>
        <v>0</v>
      </c>
      <c r="AY76" s="42">
        <f>[1]Planning!S76</f>
        <v>0</v>
      </c>
      <c r="AZ76" s="41">
        <f>[1]Planning!T76</f>
        <v>0</v>
      </c>
      <c r="BA76" s="42">
        <f>[1]Planning!T76</f>
        <v>0</v>
      </c>
      <c r="BB76" s="41">
        <f>[1]Planning!U76</f>
        <v>0</v>
      </c>
      <c r="BC76" s="42">
        <f>[1]Planning!U76</f>
        <v>0</v>
      </c>
      <c r="BD76" s="41">
        <f>[1]Planning!V76</f>
        <v>0</v>
      </c>
      <c r="BE76" s="42">
        <f>[1]Planning!V76</f>
        <v>0</v>
      </c>
      <c r="BF76" s="41">
        <f>[1]Planning!W76</f>
        <v>0</v>
      </c>
      <c r="BG76" s="43">
        <f>[1]Planning!W76</f>
        <v>0</v>
      </c>
      <c r="BH76" s="283">
        <f>(BI76&amp;2)*1</f>
        <v>20292</v>
      </c>
      <c r="BI76" s="284">
        <f>Year13</f>
        <v>2029</v>
      </c>
      <c r="BJ76" s="286"/>
      <c r="BK76" s="265">
        <f>IF([1]Planning!AG$31="",,IF($AR$18=1,[1]Planning!AG$31*0.25,[1]Planning!AG$31*0.25*VE))</f>
        <v>0</v>
      </c>
      <c r="BL76" s="272">
        <f t="shared" si="72"/>
        <v>3824.8750000000009</v>
      </c>
      <c r="BM76" s="272" t="e">
        <f>AI32</f>
        <v>#REF!</v>
      </c>
      <c r="BN76" s="273">
        <f t="shared" si="73"/>
        <v>0</v>
      </c>
      <c r="BW76" s="256"/>
      <c r="BX76" s="256"/>
      <c r="BY76" s="256"/>
      <c r="BZ76" s="256"/>
      <c r="CA76" s="274"/>
    </row>
    <row r="77" spans="16:79" ht="12.75" hidden="1" customHeight="1" thickBot="1" x14ac:dyDescent="0.25">
      <c r="P77" s="56">
        <f>[1]Planning!N77</f>
        <v>0</v>
      </c>
      <c r="Q77" s="39">
        <f>[1]Planning!Q77</f>
        <v>0</v>
      </c>
      <c r="R77" s="40"/>
      <c r="S77" s="260"/>
      <c r="T77" s="40"/>
      <c r="U77" s="260"/>
      <c r="V77" s="40"/>
      <c r="W77" s="260"/>
      <c r="X77" s="40"/>
      <c r="Y77" s="260"/>
      <c r="Z77" s="40"/>
      <c r="AA77" s="260"/>
      <c r="AB77" s="40"/>
      <c r="AC77" s="260"/>
      <c r="AD77" s="2"/>
      <c r="AJ77" s="244"/>
      <c r="AK77" s="244"/>
      <c r="AO77" s="244"/>
      <c r="AP77" s="244"/>
      <c r="AV77" s="41">
        <f>[1]Planning!R77</f>
        <v>0</v>
      </c>
      <c r="AW77" s="42">
        <f>[1]Planning!R77</f>
        <v>0</v>
      </c>
      <c r="AX77" s="41">
        <f>[1]Planning!S77</f>
        <v>0</v>
      </c>
      <c r="AY77" s="42">
        <f>[1]Planning!S77</f>
        <v>0</v>
      </c>
      <c r="AZ77" s="41">
        <f>[1]Planning!T77</f>
        <v>0</v>
      </c>
      <c r="BA77" s="42">
        <f>[1]Planning!T77</f>
        <v>0</v>
      </c>
      <c r="BB77" s="41">
        <f>[1]Planning!U77</f>
        <v>0</v>
      </c>
      <c r="BC77" s="42">
        <f>[1]Planning!U77</f>
        <v>0</v>
      </c>
      <c r="BD77" s="41">
        <f>[1]Planning!V77</f>
        <v>0</v>
      </c>
      <c r="BE77" s="42">
        <f>[1]Planning!V77</f>
        <v>0</v>
      </c>
      <c r="BF77" s="41">
        <f>[1]Planning!W77</f>
        <v>0</v>
      </c>
      <c r="BG77" s="43">
        <f>[1]Planning!W77</f>
        <v>0</v>
      </c>
      <c r="BH77" s="283">
        <f>(BI76&amp;3)*1</f>
        <v>20293</v>
      </c>
      <c r="BI77" s="284"/>
      <c r="BJ77" s="286"/>
      <c r="BK77" s="265">
        <f>IF([1]Planning!AG$31="",,IF($AR$18=1,[1]Planning!AG$31*0.25,[1]Planning!AG$31*0.25*VE))</f>
        <v>0</v>
      </c>
      <c r="BL77" s="272">
        <f t="shared" si="72"/>
        <v>3824.8750000000009</v>
      </c>
      <c r="BM77" s="272" t="e">
        <f>AJ32</f>
        <v>#REF!</v>
      </c>
      <c r="BN77" s="273">
        <f t="shared" si="73"/>
        <v>0</v>
      </c>
      <c r="BW77" s="256"/>
      <c r="BX77" s="256"/>
      <c r="BY77" s="256"/>
      <c r="BZ77" s="256"/>
      <c r="CA77" s="274"/>
    </row>
    <row r="78" spans="16:79" ht="12.75" hidden="1" customHeight="1" thickBot="1" x14ac:dyDescent="0.25">
      <c r="P78" s="56">
        <f>[1]Planning!N78</f>
        <v>0</v>
      </c>
      <c r="Q78" s="39">
        <f>[1]Planning!Q78</f>
        <v>0</v>
      </c>
      <c r="R78" s="40"/>
      <c r="S78" s="260"/>
      <c r="T78" s="40"/>
      <c r="U78" s="260"/>
      <c r="V78" s="40"/>
      <c r="W78" s="260"/>
      <c r="X78" s="40"/>
      <c r="Y78" s="260"/>
      <c r="Z78" s="40"/>
      <c r="AA78" s="260"/>
      <c r="AB78" s="40"/>
      <c r="AC78" s="260"/>
      <c r="AD78" s="2"/>
      <c r="AV78" s="41">
        <f>[1]Planning!R78</f>
        <v>0</v>
      </c>
      <c r="AW78" s="42">
        <f>[1]Planning!R78</f>
        <v>0</v>
      </c>
      <c r="AX78" s="41">
        <f>[1]Planning!S78</f>
        <v>0</v>
      </c>
      <c r="AY78" s="42">
        <f>[1]Planning!S78</f>
        <v>0</v>
      </c>
      <c r="AZ78" s="41">
        <f>[1]Planning!T78</f>
        <v>0</v>
      </c>
      <c r="BA78" s="42">
        <f>[1]Planning!T78</f>
        <v>0</v>
      </c>
      <c r="BB78" s="41">
        <f>[1]Planning!U78</f>
        <v>0</v>
      </c>
      <c r="BC78" s="42">
        <f>[1]Planning!U78</f>
        <v>0</v>
      </c>
      <c r="BD78" s="41">
        <f>[1]Planning!V78</f>
        <v>0</v>
      </c>
      <c r="BE78" s="42">
        <f>[1]Planning!V78</f>
        <v>0</v>
      </c>
      <c r="BF78" s="41">
        <f>[1]Planning!W78</f>
        <v>0</v>
      </c>
      <c r="BG78" s="43">
        <f>[1]Planning!W78</f>
        <v>0</v>
      </c>
      <c r="BH78" s="277">
        <f>(BI76&amp;4)*1</f>
        <v>20294</v>
      </c>
      <c r="BI78" s="285"/>
      <c r="BJ78" s="286"/>
      <c r="BK78" s="265">
        <f>IF([1]Planning!AG$31="",,IF($AR$18=1,[1]Planning!AG$31*0.25,[1]Planning!AG$31*0.25*VE))</f>
        <v>0</v>
      </c>
      <c r="BL78" s="272">
        <f t="shared" si="72"/>
        <v>3824.8750000000009</v>
      </c>
      <c r="BM78" s="272" t="e">
        <f>AK32</f>
        <v>#REF!</v>
      </c>
      <c r="BN78" s="273">
        <f t="shared" si="73"/>
        <v>0</v>
      </c>
      <c r="BW78" s="256"/>
      <c r="BX78" s="256"/>
      <c r="BY78" s="256"/>
      <c r="BZ78" s="256"/>
      <c r="CA78" s="274"/>
    </row>
    <row r="79" spans="16:79" ht="12.75" hidden="1" customHeight="1" thickBot="1" x14ac:dyDescent="0.25">
      <c r="P79" s="56">
        <f>[1]Planning!N79</f>
        <v>0</v>
      </c>
      <c r="Q79" s="39">
        <f>[1]Planning!Q79</f>
        <v>0</v>
      </c>
      <c r="R79" s="40"/>
      <c r="S79" s="260"/>
      <c r="T79" s="40"/>
      <c r="U79" s="260"/>
      <c r="V79" s="40"/>
      <c r="W79" s="260"/>
      <c r="X79" s="40"/>
      <c r="Y79" s="260"/>
      <c r="Z79" s="40"/>
      <c r="AA79" s="260"/>
      <c r="AB79" s="40"/>
      <c r="AC79" s="260"/>
      <c r="AD79" s="2"/>
      <c r="AV79" s="41">
        <f>[1]Planning!R79</f>
        <v>0</v>
      </c>
      <c r="AW79" s="42">
        <f>[1]Planning!R79</f>
        <v>0</v>
      </c>
      <c r="AX79" s="41">
        <f>[1]Planning!S79</f>
        <v>0</v>
      </c>
      <c r="AY79" s="42">
        <f>[1]Planning!S79</f>
        <v>0</v>
      </c>
      <c r="AZ79" s="41">
        <f>[1]Planning!T79</f>
        <v>0</v>
      </c>
      <c r="BA79" s="42">
        <f>[1]Planning!T79</f>
        <v>0</v>
      </c>
      <c r="BB79" s="41">
        <f>[1]Planning!U79</f>
        <v>0</v>
      </c>
      <c r="BC79" s="42">
        <f>[1]Planning!U79</f>
        <v>0</v>
      </c>
      <c r="BD79" s="41">
        <f>[1]Planning!V79</f>
        <v>0</v>
      </c>
      <c r="BE79" s="42">
        <f>[1]Planning!V79</f>
        <v>0</v>
      </c>
      <c r="BF79" s="41">
        <f>[1]Planning!W79</f>
        <v>0</v>
      </c>
      <c r="BG79" s="43">
        <f>[1]Planning!W79</f>
        <v>0</v>
      </c>
      <c r="BH79" s="279">
        <f>(BI80&amp;1)*1</f>
        <v>20301</v>
      </c>
      <c r="BI79" s="280"/>
      <c r="BJ79" s="286"/>
      <c r="BK79" s="265">
        <f>IF([1]Planning!AG$32="",,IF($AR$18=1,[1]Planning!AG$32*0.25,[1]Planning!AG$32*0.25*VE))</f>
        <v>0</v>
      </c>
      <c r="BL79" s="272">
        <f t="shared" si="72"/>
        <v>3824.8750000000009</v>
      </c>
      <c r="BM79" s="272" t="e">
        <f>AH33</f>
        <v>#REF!</v>
      </c>
      <c r="BN79" s="273">
        <f t="shared" si="73"/>
        <v>0</v>
      </c>
      <c r="CA79" s="274"/>
    </row>
    <row r="80" spans="16:79" ht="12.75" hidden="1" customHeight="1" thickBot="1" x14ac:dyDescent="0.25">
      <c r="P80" s="56">
        <f>[1]Planning!N80</f>
        <v>0</v>
      </c>
      <c r="Q80" s="39">
        <f>[1]Planning!Q80</f>
        <v>0</v>
      </c>
      <c r="R80" s="40"/>
      <c r="S80" s="260"/>
      <c r="T80" s="40"/>
      <c r="U80" s="260"/>
      <c r="V80" s="40"/>
      <c r="W80" s="260"/>
      <c r="X80" s="40"/>
      <c r="Y80" s="260"/>
      <c r="Z80" s="40"/>
      <c r="AA80" s="260"/>
      <c r="AB80" s="40"/>
      <c r="AC80" s="260"/>
      <c r="AD80" s="2"/>
      <c r="AV80" s="41">
        <f>[1]Planning!R80</f>
        <v>0</v>
      </c>
      <c r="AW80" s="42">
        <f>[1]Planning!R80</f>
        <v>0</v>
      </c>
      <c r="AX80" s="41">
        <f>[1]Planning!S80</f>
        <v>0</v>
      </c>
      <c r="AY80" s="42">
        <f>[1]Planning!S80</f>
        <v>0</v>
      </c>
      <c r="AZ80" s="41">
        <f>[1]Planning!T80</f>
        <v>0</v>
      </c>
      <c r="BA80" s="42">
        <f>[1]Planning!T80</f>
        <v>0</v>
      </c>
      <c r="BB80" s="41">
        <f>[1]Planning!U80</f>
        <v>0</v>
      </c>
      <c r="BC80" s="42">
        <f>[1]Planning!U80</f>
        <v>0</v>
      </c>
      <c r="BD80" s="41">
        <f>[1]Planning!V80</f>
        <v>0</v>
      </c>
      <c r="BE80" s="42">
        <f>[1]Planning!V80</f>
        <v>0</v>
      </c>
      <c r="BF80" s="41">
        <f>[1]Planning!W80</f>
        <v>0</v>
      </c>
      <c r="BG80" s="43">
        <f>[1]Planning!W80</f>
        <v>0</v>
      </c>
      <c r="BH80" s="283">
        <f>(BI80&amp;2)*1</f>
        <v>20302</v>
      </c>
      <c r="BI80" s="284">
        <f>Year14</f>
        <v>2030</v>
      </c>
      <c r="BJ80" s="286"/>
      <c r="BK80" s="265">
        <f>IF([1]Planning!AG$32="",,IF($AR$18=1,[1]Planning!AG$32*0.25,[1]Planning!AG$32*0.25*VE))</f>
        <v>0</v>
      </c>
      <c r="BL80" s="272">
        <f t="shared" si="72"/>
        <v>3824.8750000000009</v>
      </c>
      <c r="BM80" s="272" t="e">
        <f>AI33</f>
        <v>#REF!</v>
      </c>
      <c r="BN80" s="273">
        <f t="shared" si="73"/>
        <v>0</v>
      </c>
      <c r="CA80" s="274"/>
    </row>
    <row r="81" spans="16:79" ht="12.75" hidden="1" customHeight="1" thickBot="1" x14ac:dyDescent="0.25">
      <c r="P81" s="56">
        <f>[1]Planning!N81</f>
        <v>0</v>
      </c>
      <c r="Q81" s="39">
        <f>[1]Planning!Q81</f>
        <v>0</v>
      </c>
      <c r="R81" s="40"/>
      <c r="S81" s="260"/>
      <c r="T81" s="40"/>
      <c r="U81" s="260"/>
      <c r="V81" s="40"/>
      <c r="W81" s="260"/>
      <c r="X81" s="40"/>
      <c r="Y81" s="260"/>
      <c r="Z81" s="40"/>
      <c r="AA81" s="260"/>
      <c r="AB81" s="40"/>
      <c r="AC81" s="260"/>
      <c r="AD81" s="2"/>
      <c r="AV81" s="41">
        <f>[1]Planning!R81</f>
        <v>0</v>
      </c>
      <c r="AW81" s="42">
        <f>[1]Planning!R81</f>
        <v>0</v>
      </c>
      <c r="AX81" s="41">
        <f>[1]Planning!S81</f>
        <v>0</v>
      </c>
      <c r="AY81" s="42">
        <f>[1]Planning!S81</f>
        <v>0</v>
      </c>
      <c r="AZ81" s="41">
        <f>[1]Planning!T81</f>
        <v>0</v>
      </c>
      <c r="BA81" s="42">
        <f>[1]Planning!T81</f>
        <v>0</v>
      </c>
      <c r="BB81" s="41">
        <f>[1]Planning!U81</f>
        <v>0</v>
      </c>
      <c r="BC81" s="42">
        <f>[1]Planning!U81</f>
        <v>0</v>
      </c>
      <c r="BD81" s="41">
        <f>[1]Planning!V81</f>
        <v>0</v>
      </c>
      <c r="BE81" s="42">
        <f>[1]Planning!V81</f>
        <v>0</v>
      </c>
      <c r="BF81" s="41">
        <f>[1]Planning!W81</f>
        <v>0</v>
      </c>
      <c r="BG81" s="43">
        <f>[1]Planning!W81</f>
        <v>0</v>
      </c>
      <c r="BH81" s="283">
        <f>(BI80&amp;3)*1</f>
        <v>20303</v>
      </c>
      <c r="BI81" s="284"/>
      <c r="BJ81" s="286"/>
      <c r="BK81" s="265">
        <f>IF([1]Planning!AG$32="",,IF($AR$18=1,[1]Planning!AG$32*0.25,[1]Planning!AG$32*0.25*VE))</f>
        <v>0</v>
      </c>
      <c r="BL81" s="272">
        <f t="shared" si="72"/>
        <v>3824.8750000000009</v>
      </c>
      <c r="BM81" s="272" t="e">
        <f>AJ33</f>
        <v>#REF!</v>
      </c>
      <c r="BN81" s="273">
        <f t="shared" si="73"/>
        <v>0</v>
      </c>
      <c r="CA81" s="274"/>
    </row>
    <row r="82" spans="16:79" ht="12.75" hidden="1" customHeight="1" thickBot="1" x14ac:dyDescent="0.25">
      <c r="P82" s="56">
        <f>[1]Planning!N82</f>
        <v>0</v>
      </c>
      <c r="Q82" s="39">
        <f>[1]Planning!Q82</f>
        <v>0</v>
      </c>
      <c r="R82" s="40"/>
      <c r="S82" s="260"/>
      <c r="T82" s="40"/>
      <c r="U82" s="260"/>
      <c r="V82" s="40"/>
      <c r="W82" s="260"/>
      <c r="X82" s="40"/>
      <c r="Y82" s="260"/>
      <c r="Z82" s="40"/>
      <c r="AA82" s="260"/>
      <c r="AB82" s="40"/>
      <c r="AC82" s="260"/>
      <c r="AD82" s="2"/>
      <c r="AV82" s="41">
        <f>[1]Planning!R82</f>
        <v>0</v>
      </c>
      <c r="AW82" s="42">
        <f>[1]Planning!R82</f>
        <v>0</v>
      </c>
      <c r="AX82" s="41">
        <f>[1]Planning!S82</f>
        <v>0</v>
      </c>
      <c r="AY82" s="42">
        <f>[1]Planning!S82</f>
        <v>0</v>
      </c>
      <c r="AZ82" s="41">
        <f>[1]Planning!T82</f>
        <v>0</v>
      </c>
      <c r="BA82" s="42">
        <f>[1]Planning!T82</f>
        <v>0</v>
      </c>
      <c r="BB82" s="41">
        <f>[1]Planning!U82</f>
        <v>0</v>
      </c>
      <c r="BC82" s="42">
        <f>[1]Planning!U82</f>
        <v>0</v>
      </c>
      <c r="BD82" s="41">
        <f>[1]Planning!V82</f>
        <v>0</v>
      </c>
      <c r="BE82" s="42">
        <f>[1]Planning!V82</f>
        <v>0</v>
      </c>
      <c r="BF82" s="41">
        <f>[1]Planning!W82</f>
        <v>0</v>
      </c>
      <c r="BG82" s="43">
        <f>[1]Planning!W82</f>
        <v>0</v>
      </c>
      <c r="BH82" s="277">
        <f>(BI80&amp;4)*1</f>
        <v>20304</v>
      </c>
      <c r="BI82" s="285"/>
      <c r="BJ82" s="286"/>
      <c r="BK82" s="265">
        <f>IF([1]Planning!AG$32="",,IF($AR$18=1,[1]Planning!AG$32*0.25,[1]Planning!AG$32*0.25*VE))</f>
        <v>0</v>
      </c>
      <c r="BL82" s="272">
        <f t="shared" si="72"/>
        <v>3824.8750000000009</v>
      </c>
      <c r="BM82" s="272" t="e">
        <f>AK33</f>
        <v>#REF!</v>
      </c>
      <c r="BN82" s="273">
        <f t="shared" si="73"/>
        <v>0</v>
      </c>
      <c r="CA82" s="274"/>
    </row>
    <row r="83" spans="16:79" ht="12.75" hidden="1" customHeight="1" thickBot="1" x14ac:dyDescent="0.25">
      <c r="P83" s="56">
        <f>[1]Planning!N83</f>
        <v>0</v>
      </c>
      <c r="Q83" s="39">
        <f>[1]Planning!Q83</f>
        <v>0</v>
      </c>
      <c r="R83" s="40"/>
      <c r="S83" s="260"/>
      <c r="T83" s="40"/>
      <c r="U83" s="260"/>
      <c r="V83" s="40"/>
      <c r="W83" s="260"/>
      <c r="X83" s="40"/>
      <c r="Y83" s="260"/>
      <c r="Z83" s="40"/>
      <c r="AA83" s="260"/>
      <c r="AB83" s="40"/>
      <c r="AC83" s="260"/>
      <c r="AD83" s="2"/>
      <c r="AV83" s="41">
        <f>[1]Planning!R83</f>
        <v>0</v>
      </c>
      <c r="AW83" s="42">
        <f>[1]Planning!R83</f>
        <v>0</v>
      </c>
      <c r="AX83" s="41">
        <f>[1]Planning!S83</f>
        <v>0</v>
      </c>
      <c r="AY83" s="42">
        <f>[1]Planning!S83</f>
        <v>0</v>
      </c>
      <c r="AZ83" s="41">
        <f>[1]Planning!T83</f>
        <v>0</v>
      </c>
      <c r="BA83" s="42">
        <f>[1]Planning!T83</f>
        <v>0</v>
      </c>
      <c r="BB83" s="41">
        <f>[1]Planning!U83</f>
        <v>0</v>
      </c>
      <c r="BC83" s="42">
        <f>[1]Planning!U83</f>
        <v>0</v>
      </c>
      <c r="BD83" s="41">
        <f>[1]Planning!V83</f>
        <v>0</v>
      </c>
      <c r="BE83" s="42">
        <f>[1]Planning!V83</f>
        <v>0</v>
      </c>
      <c r="BF83" s="41">
        <f>[1]Planning!W83</f>
        <v>0</v>
      </c>
      <c r="BG83" s="43">
        <f>[1]Planning!W83</f>
        <v>0</v>
      </c>
      <c r="BH83" s="279">
        <f>(BI84&amp;1)*1</f>
        <v>20311</v>
      </c>
      <c r="BI83" s="280"/>
      <c r="BJ83" s="286"/>
      <c r="BK83" s="265">
        <f>IF([1]Planning!AG$33="",,IF($AR$18=1,[1]Planning!AG$33*0.25,[1]Planning!AG$33*0.25*VE))</f>
        <v>0</v>
      </c>
      <c r="BL83" s="272">
        <f t="shared" si="72"/>
        <v>3824.8750000000009</v>
      </c>
      <c r="BM83" s="272" t="e">
        <f>AH34</f>
        <v>#REF!</v>
      </c>
      <c r="BN83" s="273">
        <f t="shared" si="73"/>
        <v>0</v>
      </c>
      <c r="CA83" s="274"/>
    </row>
    <row r="84" spans="16:79" ht="12.75" hidden="1" customHeight="1" thickBot="1" x14ac:dyDescent="0.25">
      <c r="P84" s="56">
        <f>[1]Planning!N84</f>
        <v>0</v>
      </c>
      <c r="Q84" s="39">
        <f>[1]Planning!Q84</f>
        <v>0</v>
      </c>
      <c r="R84" s="40"/>
      <c r="S84" s="260"/>
      <c r="T84" s="40"/>
      <c r="U84" s="260"/>
      <c r="V84" s="40"/>
      <c r="W84" s="260"/>
      <c r="X84" s="40"/>
      <c r="Y84" s="260"/>
      <c r="Z84" s="40"/>
      <c r="AA84" s="260"/>
      <c r="AB84" s="40"/>
      <c r="AC84" s="260"/>
      <c r="AD84" s="2"/>
      <c r="AV84" s="41">
        <f>[1]Planning!R84</f>
        <v>0</v>
      </c>
      <c r="AW84" s="42">
        <f>[1]Planning!R84</f>
        <v>0</v>
      </c>
      <c r="AX84" s="41">
        <f>[1]Planning!S84</f>
        <v>0</v>
      </c>
      <c r="AY84" s="42">
        <f>[1]Planning!S84</f>
        <v>0</v>
      </c>
      <c r="AZ84" s="41">
        <f>[1]Planning!T84</f>
        <v>0</v>
      </c>
      <c r="BA84" s="42">
        <f>[1]Planning!T84</f>
        <v>0</v>
      </c>
      <c r="BB84" s="41">
        <f>[1]Planning!U84</f>
        <v>0</v>
      </c>
      <c r="BC84" s="42">
        <f>[1]Planning!U84</f>
        <v>0</v>
      </c>
      <c r="BD84" s="41">
        <f>[1]Planning!V84</f>
        <v>0</v>
      </c>
      <c r="BE84" s="42">
        <f>[1]Planning!V84</f>
        <v>0</v>
      </c>
      <c r="BF84" s="41">
        <f>[1]Planning!W84</f>
        <v>0</v>
      </c>
      <c r="BG84" s="43">
        <f>[1]Planning!W84</f>
        <v>0</v>
      </c>
      <c r="BH84" s="283">
        <f>(BI84&amp;2)*1</f>
        <v>20312</v>
      </c>
      <c r="BI84" s="284">
        <f>Year15</f>
        <v>2031</v>
      </c>
      <c r="BJ84" s="286"/>
      <c r="BK84" s="265">
        <f>IF([1]Planning!AG$33="",,IF($AR$18=1,[1]Planning!AG$33*0.25,[1]Planning!AG$33*0.25*VE))</f>
        <v>0</v>
      </c>
      <c r="BL84" s="272">
        <f t="shared" si="72"/>
        <v>3824.8750000000009</v>
      </c>
      <c r="BM84" s="272" t="e">
        <f>AI34</f>
        <v>#REF!</v>
      </c>
      <c r="BN84" s="273">
        <f t="shared" si="73"/>
        <v>0</v>
      </c>
      <c r="CA84" s="274"/>
    </row>
    <row r="85" spans="16:79" ht="12.75" hidden="1" customHeight="1" thickBot="1" x14ac:dyDescent="0.25">
      <c r="P85" s="56">
        <f>[1]Planning!N85</f>
        <v>0</v>
      </c>
      <c r="Q85" s="39">
        <f>[1]Planning!Q85</f>
        <v>0</v>
      </c>
      <c r="R85" s="40"/>
      <c r="S85" s="260"/>
      <c r="T85" s="40"/>
      <c r="U85" s="260"/>
      <c r="V85" s="40"/>
      <c r="W85" s="260"/>
      <c r="X85" s="40"/>
      <c r="Y85" s="260"/>
      <c r="Z85" s="40"/>
      <c r="AA85" s="260"/>
      <c r="AB85" s="40"/>
      <c r="AC85" s="260"/>
      <c r="AD85" s="2"/>
      <c r="AV85" s="41">
        <f>[1]Planning!R85</f>
        <v>0</v>
      </c>
      <c r="AW85" s="42">
        <f>[1]Planning!R85</f>
        <v>0</v>
      </c>
      <c r="AX85" s="41">
        <f>[1]Planning!S85</f>
        <v>0</v>
      </c>
      <c r="AY85" s="42">
        <f>[1]Planning!S85</f>
        <v>0</v>
      </c>
      <c r="AZ85" s="41">
        <f>[1]Planning!T85</f>
        <v>0</v>
      </c>
      <c r="BA85" s="42">
        <f>[1]Planning!T85</f>
        <v>0</v>
      </c>
      <c r="BB85" s="41">
        <f>[1]Planning!U85</f>
        <v>0</v>
      </c>
      <c r="BC85" s="42">
        <f>[1]Planning!U85</f>
        <v>0</v>
      </c>
      <c r="BD85" s="41">
        <f>[1]Planning!V85</f>
        <v>0</v>
      </c>
      <c r="BE85" s="42">
        <f>[1]Planning!V85</f>
        <v>0</v>
      </c>
      <c r="BF85" s="41">
        <f>[1]Planning!W85</f>
        <v>0</v>
      </c>
      <c r="BG85" s="43">
        <f>[1]Planning!W85</f>
        <v>0</v>
      </c>
      <c r="BH85" s="283">
        <f>(BI84&amp;3)*1</f>
        <v>20313</v>
      </c>
      <c r="BI85" s="284"/>
      <c r="BJ85" s="286"/>
      <c r="BK85" s="265">
        <f>IF([1]Planning!AG$33="",,IF($AR$18=1,[1]Planning!AG$33*0.25,[1]Planning!AG$33*0.25*VE))</f>
        <v>0</v>
      </c>
      <c r="BL85" s="272">
        <f t="shared" si="72"/>
        <v>3824.8750000000009</v>
      </c>
      <c r="BM85" s="272" t="e">
        <f>AJ34</f>
        <v>#REF!</v>
      </c>
      <c r="BN85" s="273">
        <f t="shared" si="73"/>
        <v>0</v>
      </c>
      <c r="CA85" s="274"/>
    </row>
    <row r="86" spans="16:79" ht="12.75" hidden="1" customHeight="1" thickBot="1" x14ac:dyDescent="0.25">
      <c r="P86" s="56">
        <f>[1]Planning!N86</f>
        <v>0</v>
      </c>
      <c r="Q86" s="39">
        <f>[1]Planning!Q86</f>
        <v>0</v>
      </c>
      <c r="R86" s="40"/>
      <c r="S86" s="260"/>
      <c r="T86" s="40"/>
      <c r="U86" s="260"/>
      <c r="V86" s="40"/>
      <c r="W86" s="260"/>
      <c r="X86" s="40"/>
      <c r="Y86" s="260"/>
      <c r="Z86" s="40"/>
      <c r="AA86" s="260"/>
      <c r="AB86" s="40"/>
      <c r="AC86" s="260"/>
      <c r="AD86" s="2"/>
      <c r="AV86" s="41">
        <f>[1]Planning!R86</f>
        <v>0</v>
      </c>
      <c r="AW86" s="42">
        <f>[1]Planning!R86</f>
        <v>0</v>
      </c>
      <c r="AX86" s="41">
        <f>[1]Planning!S86</f>
        <v>0</v>
      </c>
      <c r="AY86" s="42">
        <f>[1]Planning!S86</f>
        <v>0</v>
      </c>
      <c r="AZ86" s="41">
        <f>[1]Planning!T86</f>
        <v>0</v>
      </c>
      <c r="BA86" s="42">
        <f>[1]Planning!T86</f>
        <v>0</v>
      </c>
      <c r="BB86" s="41">
        <f>[1]Planning!U86</f>
        <v>0</v>
      </c>
      <c r="BC86" s="42">
        <f>[1]Planning!U86</f>
        <v>0</v>
      </c>
      <c r="BD86" s="41">
        <f>[1]Planning!V86</f>
        <v>0</v>
      </c>
      <c r="BE86" s="42">
        <f>[1]Planning!V86</f>
        <v>0</v>
      </c>
      <c r="BF86" s="41">
        <f>[1]Planning!W86</f>
        <v>0</v>
      </c>
      <c r="BG86" s="43">
        <f>[1]Planning!W86</f>
        <v>0</v>
      </c>
      <c r="BH86" s="277">
        <f>(BI84&amp;4)*1</f>
        <v>20314</v>
      </c>
      <c r="BI86" s="285"/>
      <c r="BJ86" s="286"/>
      <c r="BK86" s="265">
        <f>IF([1]Planning!AG$33="",,IF($AR$18=1,[1]Planning!AG$33*0.25,[1]Planning!AG$33*0.25*VE))</f>
        <v>0</v>
      </c>
      <c r="BL86" s="272">
        <f t="shared" si="72"/>
        <v>3824.8750000000009</v>
      </c>
      <c r="BM86" s="272" t="e">
        <f>AK34</f>
        <v>#REF!</v>
      </c>
      <c r="BN86" s="273">
        <f t="shared" si="73"/>
        <v>0</v>
      </c>
      <c r="CA86" s="274"/>
    </row>
    <row r="87" spans="16:79" ht="12.75" hidden="1" customHeight="1" thickBot="1" x14ac:dyDescent="0.25">
      <c r="P87" s="56">
        <f>[1]Planning!N87</f>
        <v>0</v>
      </c>
      <c r="Q87" s="39">
        <f>[1]Planning!Q87</f>
        <v>0</v>
      </c>
      <c r="R87" s="40"/>
      <c r="S87" s="260"/>
      <c r="T87" s="40"/>
      <c r="U87" s="260"/>
      <c r="V87" s="40"/>
      <c r="W87" s="260"/>
      <c r="X87" s="40"/>
      <c r="Y87" s="260"/>
      <c r="Z87" s="40"/>
      <c r="AA87" s="260"/>
      <c r="AB87" s="40"/>
      <c r="AC87" s="260"/>
      <c r="AD87" s="2"/>
      <c r="AV87" s="41">
        <f>[1]Planning!R87</f>
        <v>0</v>
      </c>
      <c r="AW87" s="42">
        <f>[1]Planning!R87</f>
        <v>0</v>
      </c>
      <c r="AX87" s="41">
        <f>[1]Planning!S87</f>
        <v>0</v>
      </c>
      <c r="AY87" s="42">
        <f>[1]Planning!S87</f>
        <v>0</v>
      </c>
      <c r="AZ87" s="41">
        <f>[1]Planning!T87</f>
        <v>0</v>
      </c>
      <c r="BA87" s="42">
        <f>[1]Planning!T87</f>
        <v>0</v>
      </c>
      <c r="BB87" s="41">
        <f>[1]Planning!U87</f>
        <v>0</v>
      </c>
      <c r="BC87" s="42">
        <f>[1]Planning!U87</f>
        <v>0</v>
      </c>
      <c r="BD87" s="41">
        <f>[1]Planning!V87</f>
        <v>0</v>
      </c>
      <c r="BE87" s="42">
        <f>[1]Planning!V87</f>
        <v>0</v>
      </c>
      <c r="BF87" s="41">
        <f>[1]Planning!W87</f>
        <v>0</v>
      </c>
      <c r="BG87" s="43">
        <f>[1]Planning!W87</f>
        <v>0</v>
      </c>
      <c r="BH87" s="279">
        <f>(BI88&amp;1)*1</f>
        <v>20321</v>
      </c>
      <c r="BI87" s="280"/>
      <c r="BJ87" s="286"/>
      <c r="BK87" s="265">
        <f>IF([1]Planning!AG$34="",,IF($AR$18=1,[1]Planning!AG$34*0.25,[1]Planning!AG$34*0.25*VE))</f>
        <v>0</v>
      </c>
      <c r="BL87" s="272">
        <f t="shared" si="72"/>
        <v>3824.8750000000009</v>
      </c>
      <c r="BM87" s="272" t="e">
        <f>AH35</f>
        <v>#REF!</v>
      </c>
      <c r="BN87" s="273">
        <f t="shared" si="73"/>
        <v>0</v>
      </c>
      <c r="CA87" s="274"/>
    </row>
    <row r="88" spans="16:79" ht="12.75" hidden="1" customHeight="1" thickBot="1" x14ac:dyDescent="0.25">
      <c r="P88" s="56">
        <f>[1]Planning!N88</f>
        <v>0</v>
      </c>
      <c r="Q88" s="39">
        <f>[1]Planning!Q88</f>
        <v>0</v>
      </c>
      <c r="R88" s="40"/>
      <c r="S88" s="260"/>
      <c r="T88" s="40"/>
      <c r="U88" s="260"/>
      <c r="V88" s="40"/>
      <c r="W88" s="260"/>
      <c r="X88" s="40"/>
      <c r="Y88" s="260"/>
      <c r="Z88" s="40"/>
      <c r="AA88" s="260"/>
      <c r="AB88" s="40"/>
      <c r="AC88" s="260"/>
      <c r="AD88" s="2"/>
      <c r="AV88" s="41">
        <f>[1]Planning!R88</f>
        <v>0</v>
      </c>
      <c r="AW88" s="42">
        <f>[1]Planning!R88</f>
        <v>0</v>
      </c>
      <c r="AX88" s="41">
        <f>[1]Planning!S88</f>
        <v>0</v>
      </c>
      <c r="AY88" s="42">
        <f>[1]Planning!S88</f>
        <v>0</v>
      </c>
      <c r="AZ88" s="41">
        <f>[1]Planning!T88</f>
        <v>0</v>
      </c>
      <c r="BA88" s="42">
        <f>[1]Planning!T88</f>
        <v>0</v>
      </c>
      <c r="BB88" s="41">
        <f>[1]Planning!U88</f>
        <v>0</v>
      </c>
      <c r="BC88" s="42">
        <f>[1]Planning!U88</f>
        <v>0</v>
      </c>
      <c r="BD88" s="41">
        <f>[1]Planning!V88</f>
        <v>0</v>
      </c>
      <c r="BE88" s="42">
        <f>[1]Planning!V88</f>
        <v>0</v>
      </c>
      <c r="BF88" s="41">
        <f>[1]Planning!W88</f>
        <v>0</v>
      </c>
      <c r="BG88" s="43">
        <f>[1]Planning!W88</f>
        <v>0</v>
      </c>
      <c r="BH88" s="283">
        <f>(BI88&amp;2)*1</f>
        <v>20322</v>
      </c>
      <c r="BI88" s="284">
        <f>Year16</f>
        <v>2032</v>
      </c>
      <c r="BJ88" s="286"/>
      <c r="BK88" s="265">
        <f>IF([1]Planning!AG$34="",,IF($AR$18=1,[1]Planning!AG$34*0.25,[1]Planning!AG$34*0.25*VE))</f>
        <v>0</v>
      </c>
      <c r="BL88" s="272">
        <f t="shared" si="72"/>
        <v>3824.8750000000009</v>
      </c>
      <c r="BM88" s="272" t="e">
        <f>AI35</f>
        <v>#REF!</v>
      </c>
      <c r="BN88" s="273">
        <f t="shared" si="73"/>
        <v>0</v>
      </c>
      <c r="CA88" s="274"/>
    </row>
    <row r="89" spans="16:79" ht="12.75" customHeight="1" thickBot="1" x14ac:dyDescent="0.25">
      <c r="P89" s="609" t="s">
        <v>54</v>
      </c>
      <c r="Q89" s="610"/>
      <c r="R89" s="610"/>
      <c r="S89" s="610"/>
      <c r="T89" s="610"/>
      <c r="U89" s="610"/>
      <c r="V89" s="610"/>
      <c r="W89" s="610"/>
      <c r="X89" s="610"/>
      <c r="Y89" s="610"/>
      <c r="Z89" s="610"/>
      <c r="AA89" s="610"/>
      <c r="AB89" s="610"/>
      <c r="AC89" s="611"/>
      <c r="AD89" s="289"/>
      <c r="BF89" s="67"/>
      <c r="BG89" s="68"/>
      <c r="BH89" s="283">
        <f>(BI88&amp;3)*1</f>
        <v>20323</v>
      </c>
      <c r="BI89" s="284"/>
      <c r="BJ89" s="286"/>
      <c r="BK89" s="265">
        <f>IF([1]Planning!AG$34="",,IF($AR$18=1,[1]Planning!AG$34*0.25,[1]Planning!AG$34*0.25*VE))</f>
        <v>0</v>
      </c>
      <c r="BL89" s="272">
        <f t="shared" si="72"/>
        <v>3824.8750000000009</v>
      </c>
      <c r="BM89" s="272" t="e">
        <f>AJ35</f>
        <v>#REF!</v>
      </c>
      <c r="BN89" s="273">
        <f t="shared" si="73"/>
        <v>0</v>
      </c>
      <c r="CA89" s="274"/>
    </row>
    <row r="90" spans="16:79" ht="12.75" customHeight="1" thickBot="1" x14ac:dyDescent="0.25">
      <c r="P90" s="290" t="str">
        <f>IF(ISBLANK([1]Planning!N93),"",[1]Planning!N93)</f>
        <v>Audio Recording one selection</v>
      </c>
      <c r="Q90" s="291"/>
      <c r="R90" s="292"/>
      <c r="S90" s="292"/>
      <c r="T90" s="292"/>
      <c r="U90" s="292"/>
      <c r="V90" s="292"/>
      <c r="W90" s="292"/>
      <c r="X90" s="292"/>
      <c r="Y90" s="293"/>
      <c r="Z90" s="292"/>
      <c r="AA90" s="294"/>
      <c r="AB90" s="40" t="s">
        <v>7</v>
      </c>
      <c r="AC90" s="260">
        <v>2018</v>
      </c>
      <c r="BF90" s="41">
        <f>[1]Planning!W93</f>
        <v>2017</v>
      </c>
      <c r="BG90" s="43">
        <f>[1]Planning!W93</f>
        <v>2017</v>
      </c>
      <c r="BH90" s="277">
        <f>(BI88&amp;4)*1</f>
        <v>20324</v>
      </c>
      <c r="BI90" s="285"/>
      <c r="BJ90" s="286"/>
      <c r="BK90" s="265">
        <f>IF([1]Planning!AG$34="",,IF($AR$18=1,[1]Planning!AG$34*0.25,[1]Planning!AG$34*0.25*VE))</f>
        <v>0</v>
      </c>
      <c r="BL90" s="272">
        <f t="shared" si="72"/>
        <v>3824.8750000000009</v>
      </c>
      <c r="BM90" s="272" t="e">
        <f>AK35</f>
        <v>#REF!</v>
      </c>
      <c r="BN90" s="273">
        <f t="shared" si="73"/>
        <v>0</v>
      </c>
      <c r="CA90" s="274"/>
    </row>
    <row r="91" spans="16:79" ht="12.75" customHeight="1" x14ac:dyDescent="0.2">
      <c r="P91" s="295" t="str">
        <f>IF(ISBLANK([1]Planning!N94),"",[1]Planning!N94)</f>
        <v>Scripture In Use Training</v>
      </c>
      <c r="Q91" s="296"/>
      <c r="R91" s="297"/>
      <c r="S91" s="297"/>
      <c r="T91" s="297"/>
      <c r="U91" s="297"/>
      <c r="V91" s="297"/>
      <c r="W91" s="297"/>
      <c r="X91" s="297"/>
      <c r="Y91" s="298"/>
      <c r="Z91" s="297"/>
      <c r="AA91" s="299"/>
      <c r="AB91" s="40" t="s">
        <v>5</v>
      </c>
      <c r="AC91" s="260">
        <v>2019</v>
      </c>
      <c r="BF91" s="41">
        <f>[1]Planning!W94</f>
        <v>2018</v>
      </c>
      <c r="BG91" s="43">
        <f>[1]Planning!W94</f>
        <v>2018</v>
      </c>
      <c r="BH91" s="279">
        <f>(BI92&amp;1)*1</f>
        <v>20331</v>
      </c>
      <c r="BI91" s="280"/>
      <c r="BJ91" s="286"/>
      <c r="BK91" s="265">
        <f>IF([1]Planning!AG$35="",,IF($AR$18=1,[1]Planning!AG$35*0.25,[1]Planning!AG$35*0.25*VE))</f>
        <v>0</v>
      </c>
      <c r="BL91" s="272">
        <f t="shared" si="72"/>
        <v>3824.8750000000009</v>
      </c>
      <c r="BM91" s="272" t="e">
        <f>AH36</f>
        <v>#REF!</v>
      </c>
      <c r="BN91" s="273">
        <f t="shared" si="73"/>
        <v>0</v>
      </c>
      <c r="CA91" s="274"/>
    </row>
    <row r="92" spans="16:79" ht="12.75" customHeight="1" x14ac:dyDescent="0.2">
      <c r="P92" s="295" t="str">
        <f>IF(ISBLANK([1]Planning!N95),"",[1]Planning!N95)</f>
        <v>Literacy Review &amp; Planning</v>
      </c>
      <c r="Q92" s="296"/>
      <c r="R92" s="297"/>
      <c r="S92" s="297"/>
      <c r="T92" s="297"/>
      <c r="U92" s="297"/>
      <c r="V92" s="297"/>
      <c r="W92" s="297"/>
      <c r="X92" s="297"/>
      <c r="Y92" s="298"/>
      <c r="Z92" s="297"/>
      <c r="AA92" s="299"/>
      <c r="AB92" s="40"/>
      <c r="AC92" s="260"/>
      <c r="BF92" s="41">
        <f>[1]Planning!W95</f>
        <v>2018</v>
      </c>
      <c r="BG92" s="43">
        <f>[1]Planning!W95</f>
        <v>2018</v>
      </c>
      <c r="BH92" s="283">
        <f>(BI92&amp;2)*1</f>
        <v>20332</v>
      </c>
      <c r="BI92" s="284">
        <f>Year17</f>
        <v>2033</v>
      </c>
      <c r="BJ92" s="286"/>
      <c r="BK92" s="265">
        <f>IF([1]Planning!AG$35="",,IF($AR$18=1,[1]Planning!AG$35*0.25,[1]Planning!AG$35*0.25*VE))</f>
        <v>0</v>
      </c>
      <c r="BL92" s="272">
        <f t="shared" ref="BL92:BL106" si="162">IF($AR$18=1,IF(BL91="",0,IF(BK92+BL91&lt;=1,IF(SUM(BK92:BK96)&gt;=0.0001,BK92+BL91,),)),BK92+BL91)</f>
        <v>3824.8750000000009</v>
      </c>
      <c r="BM92" s="272" t="e">
        <f>AI36</f>
        <v>#REF!</v>
      </c>
      <c r="BN92" s="273">
        <f t="shared" ref="BN92:BN106" si="163">IF(ISERROR(BM92+BN91),,BM92+BN91)</f>
        <v>0</v>
      </c>
      <c r="CA92" s="274"/>
    </row>
    <row r="93" spans="16:79" ht="12.75" customHeight="1" x14ac:dyDescent="0.2">
      <c r="P93" s="295" t="str">
        <f>IF(ISBLANK([1]Planning!N96),"",[1]Planning!N96)</f>
        <v>Audio Recording one selection</v>
      </c>
      <c r="Q93" s="296"/>
      <c r="R93" s="297"/>
      <c r="S93" s="297"/>
      <c r="T93" s="297"/>
      <c r="U93" s="297"/>
      <c r="V93" s="297"/>
      <c r="W93" s="297"/>
      <c r="X93" s="297"/>
      <c r="Y93" s="298"/>
      <c r="Z93" s="297"/>
      <c r="AA93" s="299"/>
      <c r="AB93" s="40" t="s">
        <v>7</v>
      </c>
      <c r="AC93" s="260">
        <v>2017</v>
      </c>
      <c r="BF93" s="41">
        <f>[1]Planning!W96</f>
        <v>2018</v>
      </c>
      <c r="BG93" s="43">
        <f>[1]Planning!W96</f>
        <v>2018</v>
      </c>
      <c r="BH93" s="283">
        <f>(BI92&amp;3)*1</f>
        <v>20333</v>
      </c>
      <c r="BI93" s="284"/>
      <c r="BJ93" s="286"/>
      <c r="BK93" s="265">
        <f>IF([1]Planning!AG$35="",,IF($AR$18=1,[1]Planning!AG$35*0.25,[1]Planning!AG$35*0.25*VE))</f>
        <v>0</v>
      </c>
      <c r="BL93" s="272">
        <f t="shared" si="162"/>
        <v>3824.8750000000009</v>
      </c>
      <c r="BM93" s="272" t="e">
        <f>AJ36</f>
        <v>#REF!</v>
      </c>
      <c r="BN93" s="273">
        <f t="shared" si="163"/>
        <v>0</v>
      </c>
      <c r="CA93" s="274"/>
    </row>
    <row r="94" spans="16:79" ht="13.5" thickBot="1" x14ac:dyDescent="0.25">
      <c r="P94" s="295" t="str">
        <f>IF(ISBLANK([1]Planning!N112),"",[1]Planning!N112)</f>
        <v/>
      </c>
      <c r="Q94" s="296"/>
      <c r="R94" s="297"/>
      <c r="S94" s="297"/>
      <c r="T94" s="297"/>
      <c r="U94" s="297"/>
      <c r="V94" s="297"/>
      <c r="W94" s="297"/>
      <c r="X94" s="297"/>
      <c r="Y94" s="298"/>
      <c r="Z94" s="297"/>
      <c r="AA94" s="299"/>
      <c r="AB94" s="40"/>
      <c r="AC94" s="260"/>
      <c r="BF94" s="41">
        <f>[1]Planning!W112</f>
        <v>0</v>
      </c>
      <c r="BG94" s="43">
        <f>[1]Planning!W112</f>
        <v>0</v>
      </c>
      <c r="BH94" s="277">
        <f>(BI92&amp;4)*1</f>
        <v>20334</v>
      </c>
      <c r="BI94" s="285"/>
      <c r="BJ94" s="286"/>
      <c r="BK94" s="265">
        <f>IF([1]Planning!AG$35="",,IF($AR$18=1,[1]Planning!AG$35*0.25,[1]Planning!AG$35*0.25*VE))</f>
        <v>0</v>
      </c>
      <c r="BL94" s="272">
        <f t="shared" si="162"/>
        <v>3824.8750000000009</v>
      </c>
      <c r="BM94" s="272" t="e">
        <f>AK36</f>
        <v>#REF!</v>
      </c>
      <c r="BN94" s="273">
        <f t="shared" si="163"/>
        <v>0</v>
      </c>
      <c r="CA94" s="274"/>
    </row>
    <row r="95" spans="16:79" x14ac:dyDescent="0.2">
      <c r="P95" s="295" t="str">
        <f>IF(ISBLANK([1]Planning!N98),"",[1]Planning!N98)</f>
        <v>Audio Recording one selection</v>
      </c>
      <c r="Q95" s="296"/>
      <c r="R95" s="297"/>
      <c r="S95" s="297"/>
      <c r="T95" s="297"/>
      <c r="U95" s="297"/>
      <c r="V95" s="297"/>
      <c r="W95" s="297"/>
      <c r="X95" s="297"/>
      <c r="Y95" s="298"/>
      <c r="Z95" s="297"/>
      <c r="AA95" s="299"/>
      <c r="AB95" s="40"/>
      <c r="AC95" s="260"/>
      <c r="BF95" s="41">
        <f>[1]Planning!W98</f>
        <v>2019</v>
      </c>
      <c r="BG95" s="43">
        <f>[1]Planning!W98</f>
        <v>2019</v>
      </c>
      <c r="BH95" s="279">
        <f>(BI96&amp;1)*1</f>
        <v>20341</v>
      </c>
      <c r="BI95" s="280"/>
      <c r="BJ95" s="286"/>
      <c r="BK95" s="265">
        <f>IF([1]Planning!AG$36="",,IF($AR$18=1,[1]Planning!AG$36*0.25,[1]Planning!AG$36*0.25*VE))</f>
        <v>0</v>
      </c>
      <c r="BL95" s="272">
        <f t="shared" si="162"/>
        <v>3824.8750000000009</v>
      </c>
      <c r="BM95" s="272" t="e">
        <f>AH37</f>
        <v>#REF!</v>
      </c>
      <c r="BN95" s="273">
        <f t="shared" si="163"/>
        <v>0</v>
      </c>
      <c r="CA95" s="274"/>
    </row>
    <row r="96" spans="16:79" x14ac:dyDescent="0.2">
      <c r="P96" s="295" t="str">
        <f>IF(ISBLANK([1]Planning!N99),"",[1]Planning!N99)</f>
        <v>Recording of Jesus Film</v>
      </c>
      <c r="Q96" s="296"/>
      <c r="R96" s="297"/>
      <c r="S96" s="297"/>
      <c r="T96" s="297"/>
      <c r="U96" s="297"/>
      <c r="V96" s="297"/>
      <c r="W96" s="297"/>
      <c r="X96" s="297"/>
      <c r="Y96" s="298"/>
      <c r="Z96" s="297"/>
      <c r="AA96" s="299"/>
      <c r="AB96" s="40">
        <v>0.25</v>
      </c>
      <c r="AC96" s="260">
        <v>2019</v>
      </c>
      <c r="BF96" s="41">
        <f>[1]Planning!W99</f>
        <v>2019</v>
      </c>
      <c r="BG96" s="43">
        <f>[1]Planning!W99</f>
        <v>2019</v>
      </c>
      <c r="BH96" s="283">
        <f>(BI96&amp;2)*1</f>
        <v>20342</v>
      </c>
      <c r="BI96" s="284">
        <f>Year18</f>
        <v>2034</v>
      </c>
      <c r="BJ96" s="286"/>
      <c r="BK96" s="265">
        <f>IF([1]Planning!AG$36="",,IF($AR$18=1,[1]Planning!AG$36*0.25,[1]Planning!AG$36*0.25*VE))</f>
        <v>0</v>
      </c>
      <c r="BL96" s="272">
        <f t="shared" si="162"/>
        <v>3824.8750000000009</v>
      </c>
      <c r="BM96" s="272" t="e">
        <f>AI37</f>
        <v>#REF!</v>
      </c>
      <c r="BN96" s="273">
        <f t="shared" si="163"/>
        <v>0</v>
      </c>
      <c r="CA96" s="274"/>
    </row>
    <row r="97" spans="16:79" x14ac:dyDescent="0.2">
      <c r="P97" s="295" t="str">
        <f>IF(ISBLANK([1]Planning!N115),"",[1]Planning!N115)</f>
        <v/>
      </c>
      <c r="Q97" s="296"/>
      <c r="R97" s="297"/>
      <c r="S97" s="297"/>
      <c r="T97" s="297"/>
      <c r="U97" s="297"/>
      <c r="V97" s="297"/>
      <c r="W97" s="297"/>
      <c r="X97" s="297"/>
      <c r="Y97" s="298"/>
      <c r="Z97" s="297"/>
      <c r="AA97" s="299"/>
      <c r="AB97" s="40"/>
      <c r="AC97" s="260"/>
      <c r="BF97" s="41">
        <f>[1]Planning!W115</f>
        <v>0</v>
      </c>
      <c r="BG97" s="43">
        <f>[1]Planning!W115</f>
        <v>0</v>
      </c>
      <c r="BH97" s="283">
        <f>(BI96&amp;3)*1</f>
        <v>20343</v>
      </c>
      <c r="BI97" s="284"/>
      <c r="BJ97" s="286"/>
      <c r="BK97" s="265">
        <f>IF([1]Planning!AG$36="",,IF($AR$18=1,[1]Planning!AG$36*0.25,[1]Planning!AG$36*0.25*VE))</f>
        <v>0</v>
      </c>
      <c r="BL97" s="272">
        <f t="shared" si="162"/>
        <v>3824.8750000000009</v>
      </c>
      <c r="BM97" s="272" t="e">
        <f>AJ37</f>
        <v>#REF!</v>
      </c>
      <c r="BN97" s="273">
        <f t="shared" si="163"/>
        <v>0</v>
      </c>
      <c r="CA97" s="274"/>
    </row>
    <row r="98" spans="16:79" ht="13.5" thickBot="1" x14ac:dyDescent="0.25">
      <c r="P98" s="295" t="str">
        <f>IF(ISBLANK([1]Planning!N101),"",[1]Planning!N101)</f>
        <v/>
      </c>
      <c r="Q98" s="296"/>
      <c r="R98" s="297"/>
      <c r="S98" s="297"/>
      <c r="T98" s="297"/>
      <c r="U98" s="297"/>
      <c r="V98" s="297"/>
      <c r="W98" s="297"/>
      <c r="X98" s="297"/>
      <c r="Y98" s="298"/>
      <c r="Z98" s="297"/>
      <c r="AA98" s="299"/>
      <c r="AB98" s="40"/>
      <c r="AC98" s="260"/>
      <c r="BF98" s="41">
        <f>[1]Planning!W101</f>
        <v>0</v>
      </c>
      <c r="BG98" s="43">
        <f>[1]Planning!W101</f>
        <v>0</v>
      </c>
      <c r="BH98" s="277">
        <f>(BI96&amp;4)*1</f>
        <v>20344</v>
      </c>
      <c r="BI98" s="285"/>
      <c r="BJ98" s="286"/>
      <c r="BK98" s="265">
        <f>IF([1]Planning!AG$36="",,IF($AR$18=1,[1]Planning!AG$36*0.25,[1]Planning!AG$36*0.25*VE))</f>
        <v>0</v>
      </c>
      <c r="BL98" s="272">
        <f t="shared" si="162"/>
        <v>3824.8750000000009</v>
      </c>
      <c r="BM98" s="272" t="e">
        <f>AK37</f>
        <v>#REF!</v>
      </c>
      <c r="BN98" s="273">
        <f t="shared" si="163"/>
        <v>0</v>
      </c>
      <c r="CA98" s="274"/>
    </row>
    <row r="99" spans="16:79" x14ac:dyDescent="0.2">
      <c r="P99" s="295" t="str">
        <f>IF(ISBLANK([1]Planning!N102),"",[1]Planning!N102)</f>
        <v/>
      </c>
      <c r="Q99" s="296"/>
      <c r="R99" s="297"/>
      <c r="S99" s="297"/>
      <c r="T99" s="297"/>
      <c r="U99" s="297"/>
      <c r="V99" s="297"/>
      <c r="W99" s="297"/>
      <c r="X99" s="297"/>
      <c r="Y99" s="298"/>
      <c r="Z99" s="297"/>
      <c r="AA99" s="299"/>
      <c r="AB99" s="40"/>
      <c r="AC99" s="260"/>
      <c r="BF99" s="41">
        <f>[1]Planning!W102</f>
        <v>0</v>
      </c>
      <c r="BG99" s="43">
        <f>[1]Planning!W102</f>
        <v>0</v>
      </c>
      <c r="BH99" s="279">
        <f>(BI100&amp;1)*1</f>
        <v>20351</v>
      </c>
      <c r="BI99" s="280"/>
      <c r="BJ99" s="286"/>
      <c r="BK99" s="265">
        <f>IF([1]Planning!AG$37="",,IF($AR$18=1,[1]Planning!AG$37*0.25,[1]Planning!AG$37*0.25*VE))</f>
        <v>0</v>
      </c>
      <c r="BL99" s="272">
        <f t="shared" si="162"/>
        <v>3824.8750000000009</v>
      </c>
      <c r="BM99" s="272" t="e">
        <f>AH38</f>
        <v>#REF!</v>
      </c>
      <c r="BN99" s="273">
        <f t="shared" si="163"/>
        <v>0</v>
      </c>
      <c r="CA99" s="274"/>
    </row>
    <row r="100" spans="16:79" x14ac:dyDescent="0.2">
      <c r="P100" s="295" t="str">
        <f>IF(ISBLANK([1]Planning!N118),"",[1]Planning!N118)</f>
        <v/>
      </c>
      <c r="Q100" s="296"/>
      <c r="R100" s="297"/>
      <c r="S100" s="297"/>
      <c r="T100" s="297"/>
      <c r="U100" s="297"/>
      <c r="V100" s="297"/>
      <c r="W100" s="297"/>
      <c r="X100" s="297"/>
      <c r="Y100" s="298"/>
      <c r="Z100" s="297"/>
      <c r="AA100" s="299"/>
      <c r="AB100" s="40"/>
      <c r="AC100" s="260"/>
      <c r="BF100" s="41">
        <f>[1]Planning!W118</f>
        <v>0</v>
      </c>
      <c r="BG100" s="43">
        <f>[1]Planning!W118</f>
        <v>0</v>
      </c>
      <c r="BH100" s="283">
        <f>(BI100&amp;2)*1</f>
        <v>20352</v>
      </c>
      <c r="BI100" s="284">
        <f>Year19</f>
        <v>2035</v>
      </c>
      <c r="BJ100" s="286"/>
      <c r="BK100" s="265">
        <f>IF([1]Planning!AG$37="",,IF($AR$18=1,[1]Planning!AG$37*0.25,[1]Planning!AG$37*0.25*VE))</f>
        <v>0</v>
      </c>
      <c r="BL100" s="272">
        <f t="shared" si="162"/>
        <v>3824.8750000000009</v>
      </c>
      <c r="BM100" s="272" t="e">
        <f>AI38</f>
        <v>#REF!</v>
      </c>
      <c r="BN100" s="273">
        <f t="shared" si="163"/>
        <v>0</v>
      </c>
      <c r="CA100" s="274"/>
    </row>
    <row r="101" spans="16:79" x14ac:dyDescent="0.2">
      <c r="P101" s="295" t="str">
        <f>IF(ISBLANK([1]Planning!N104),"",[1]Planning!N104)</f>
        <v/>
      </c>
      <c r="Q101" s="296"/>
      <c r="R101" s="297"/>
      <c r="S101" s="297"/>
      <c r="T101" s="297"/>
      <c r="U101" s="297"/>
      <c r="V101" s="297"/>
      <c r="W101" s="297"/>
      <c r="X101" s="297"/>
      <c r="Y101" s="298"/>
      <c r="Z101" s="297"/>
      <c r="AA101" s="299"/>
      <c r="AB101" s="40"/>
      <c r="AC101" s="260"/>
      <c r="BF101" s="41">
        <f>[1]Planning!W104</f>
        <v>0</v>
      </c>
      <c r="BG101" s="43">
        <f>[1]Planning!W104</f>
        <v>0</v>
      </c>
      <c r="BH101" s="283">
        <f>(BI100&amp;3)*1</f>
        <v>20353</v>
      </c>
      <c r="BI101" s="284"/>
      <c r="BJ101" s="286"/>
      <c r="BK101" s="265">
        <f>IF([1]Planning!AG$37="",,IF($AR$18=1,[1]Planning!AG$37*0.25,[1]Planning!AG$37*0.25*VE))</f>
        <v>0</v>
      </c>
      <c r="BL101" s="272">
        <f t="shared" si="162"/>
        <v>3824.8750000000009</v>
      </c>
      <c r="BM101" s="272" t="e">
        <f>AJ38</f>
        <v>#REF!</v>
      </c>
      <c r="BN101" s="273">
        <f t="shared" si="163"/>
        <v>0</v>
      </c>
      <c r="CA101" s="274"/>
    </row>
    <row r="102" spans="16:79" ht="13.5" thickBot="1" x14ac:dyDescent="0.25">
      <c r="P102" s="295" t="str">
        <f>IF(ISBLANK([1]Planning!N105),"",[1]Planning!N105)</f>
        <v/>
      </c>
      <c r="Q102" s="296"/>
      <c r="R102" s="297"/>
      <c r="S102" s="297"/>
      <c r="T102" s="297"/>
      <c r="U102" s="297"/>
      <c r="V102" s="297"/>
      <c r="W102" s="297"/>
      <c r="X102" s="297"/>
      <c r="Y102" s="298"/>
      <c r="Z102" s="297"/>
      <c r="AA102" s="299"/>
      <c r="AB102" s="40"/>
      <c r="AC102" s="260"/>
      <c r="BF102" s="41">
        <f>[1]Planning!W105</f>
        <v>0</v>
      </c>
      <c r="BG102" s="43">
        <f>[1]Planning!W105</f>
        <v>0</v>
      </c>
      <c r="BH102" s="277">
        <f>(BI100&amp;4)*1</f>
        <v>20354</v>
      </c>
      <c r="BI102" s="285"/>
      <c r="BJ102" s="286"/>
      <c r="BK102" s="265">
        <f>IF([1]Planning!AG$37="",,IF($AR$18=1,[1]Planning!AG$37*0.25,[1]Planning!AG$37*0.25*VE))</f>
        <v>0</v>
      </c>
      <c r="BL102" s="272">
        <f t="shared" si="162"/>
        <v>3824.8750000000009</v>
      </c>
      <c r="BM102" s="272" t="e">
        <f>AK38</f>
        <v>#REF!</v>
      </c>
      <c r="BN102" s="273">
        <f t="shared" si="163"/>
        <v>0</v>
      </c>
      <c r="CA102" s="274"/>
    </row>
    <row r="103" spans="16:79" x14ac:dyDescent="0.2">
      <c r="P103" s="295" t="str">
        <f>IF(ISBLANK([1]Planning!N121),"",[1]Planning!N121)</f>
        <v/>
      </c>
      <c r="Q103" s="296"/>
      <c r="R103" s="297"/>
      <c r="S103" s="297"/>
      <c r="T103" s="297"/>
      <c r="U103" s="297"/>
      <c r="V103" s="297"/>
      <c r="W103" s="297"/>
      <c r="X103" s="297"/>
      <c r="Y103" s="298"/>
      <c r="Z103" s="297"/>
      <c r="AA103" s="299"/>
      <c r="AB103" s="40"/>
      <c r="AC103" s="260"/>
      <c r="BF103" s="41">
        <f>[1]Planning!W121</f>
        <v>0</v>
      </c>
      <c r="BG103" s="43">
        <f>[1]Planning!W121</f>
        <v>0</v>
      </c>
      <c r="BH103" s="279">
        <f>(BI104&amp;1)*1</f>
        <v>20361</v>
      </c>
      <c r="BI103" s="280"/>
      <c r="BJ103" s="286"/>
      <c r="BK103" s="265">
        <f>IF([1]Planning!AG$38="",,IF($AR$18=1,[1]Planning!AG$38*0.25,[1]Planning!AG$38*0.25*VE))</f>
        <v>0</v>
      </c>
      <c r="BL103" s="272">
        <f t="shared" si="162"/>
        <v>3824.8750000000009</v>
      </c>
      <c r="BM103" s="272" t="e">
        <f>AH39</f>
        <v>#REF!</v>
      </c>
      <c r="BN103" s="273">
        <f t="shared" si="163"/>
        <v>0</v>
      </c>
      <c r="CA103" s="274"/>
    </row>
    <row r="104" spans="16:79" x14ac:dyDescent="0.2">
      <c r="P104" s="295" t="str">
        <f>IF(ISBLANK([1]Planning!N107),"",[1]Planning!N107)</f>
        <v/>
      </c>
      <c r="Q104" s="296"/>
      <c r="R104" s="297"/>
      <c r="S104" s="297"/>
      <c r="T104" s="297"/>
      <c r="U104" s="297"/>
      <c r="V104" s="297"/>
      <c r="W104" s="297"/>
      <c r="X104" s="297"/>
      <c r="Y104" s="298"/>
      <c r="Z104" s="297"/>
      <c r="AA104" s="299"/>
      <c r="AB104" s="40"/>
      <c r="AC104" s="260"/>
      <c r="BF104" s="41">
        <f>[1]Planning!W107</f>
        <v>0</v>
      </c>
      <c r="BG104" s="43">
        <f>[1]Planning!W107</f>
        <v>0</v>
      </c>
      <c r="BH104" s="283">
        <f>(BI104&amp;2)*1</f>
        <v>20362</v>
      </c>
      <c r="BI104" s="284">
        <f>Year20</f>
        <v>2036</v>
      </c>
      <c r="BJ104" s="286"/>
      <c r="BK104" s="265">
        <f>IF([1]Planning!AG$38="",,IF($AR$18=1,[1]Planning!AG$38*0.25,[1]Planning!AG$38*0.25*VE))</f>
        <v>0</v>
      </c>
      <c r="BL104" s="272">
        <f t="shared" si="162"/>
        <v>3824.8750000000009</v>
      </c>
      <c r="BM104" s="272" t="e">
        <f>AI39</f>
        <v>#REF!</v>
      </c>
      <c r="BN104" s="273">
        <f t="shared" si="163"/>
        <v>0</v>
      </c>
      <c r="CA104" s="274"/>
    </row>
    <row r="105" spans="16:79" x14ac:dyDescent="0.2">
      <c r="P105" s="295" t="str">
        <f>IF(ISBLANK([1]Planning!N108),"",[1]Planning!N108)</f>
        <v/>
      </c>
      <c r="Q105" s="296"/>
      <c r="R105" s="297"/>
      <c r="S105" s="297"/>
      <c r="T105" s="297"/>
      <c r="U105" s="297"/>
      <c r="V105" s="297"/>
      <c r="W105" s="297"/>
      <c r="X105" s="297"/>
      <c r="Y105" s="298"/>
      <c r="Z105" s="297"/>
      <c r="AA105" s="299"/>
      <c r="AB105" s="40"/>
      <c r="AC105" s="260"/>
      <c r="BF105" s="41">
        <f>[1]Planning!W108</f>
        <v>0</v>
      </c>
      <c r="BG105" s="43">
        <f>[1]Planning!W108</f>
        <v>0</v>
      </c>
      <c r="BH105" s="283">
        <f>(BI104&amp;3)*1</f>
        <v>20363</v>
      </c>
      <c r="BI105" s="284"/>
      <c r="BJ105" s="286"/>
      <c r="BK105" s="265">
        <f>IF([1]Planning!AG$38="",,IF($AR$18=1,[1]Planning!AG$38*0.25,[1]Planning!AG$38*0.25*VE))</f>
        <v>0</v>
      </c>
      <c r="BL105" s="272">
        <f t="shared" si="162"/>
        <v>3824.8750000000009</v>
      </c>
      <c r="BM105" s="272" t="e">
        <f>AJ39</f>
        <v>#REF!</v>
      </c>
      <c r="BN105" s="273">
        <f t="shared" si="163"/>
        <v>0</v>
      </c>
      <c r="CA105" s="274"/>
    </row>
    <row r="106" spans="16:79" ht="13.5" thickBot="1" x14ac:dyDescent="0.25">
      <c r="P106" s="295" t="str">
        <f>IF(ISBLANK([1]Planning!N124),"",[1]Planning!N124)</f>
        <v/>
      </c>
      <c r="Q106" s="296"/>
      <c r="R106" s="297"/>
      <c r="S106" s="297"/>
      <c r="T106" s="297"/>
      <c r="U106" s="297"/>
      <c r="V106" s="297"/>
      <c r="W106" s="297"/>
      <c r="X106" s="297"/>
      <c r="Y106" s="298"/>
      <c r="Z106" s="297"/>
      <c r="AA106" s="299"/>
      <c r="AB106" s="40"/>
      <c r="AC106" s="260"/>
      <c r="BF106" s="41">
        <f>[1]Planning!W124</f>
        <v>0</v>
      </c>
      <c r="BG106" s="43">
        <f>[1]Planning!W124</f>
        <v>0</v>
      </c>
      <c r="BH106" s="277">
        <f>(BI104&amp;4)*1</f>
        <v>20364</v>
      </c>
      <c r="BI106" s="285"/>
      <c r="BJ106" s="286"/>
      <c r="BK106" s="300">
        <f>IF([1]Planning!AG$38="",,IF($AR$18=1,[1]Planning!AG$38*0.25,[1]Planning!AG$38*0.25*VE))</f>
        <v>0</v>
      </c>
      <c r="BL106" s="301">
        <f t="shared" si="162"/>
        <v>3824.8750000000009</v>
      </c>
      <c r="BM106" s="301" t="e">
        <f>AK39</f>
        <v>#REF!</v>
      </c>
      <c r="BN106" s="302">
        <f t="shared" si="163"/>
        <v>0</v>
      </c>
      <c r="CA106" s="274"/>
    </row>
    <row r="107" spans="16:79" x14ac:dyDescent="0.2">
      <c r="P107" s="295" t="str">
        <f>IF(ISBLANK([1]Planning!N110),"",[1]Planning!N110)</f>
        <v/>
      </c>
      <c r="Q107" s="296"/>
      <c r="R107" s="297"/>
      <c r="S107" s="297"/>
      <c r="T107" s="297"/>
      <c r="U107" s="297"/>
      <c r="V107" s="297"/>
      <c r="W107" s="297"/>
      <c r="X107" s="297"/>
      <c r="Y107" s="298"/>
      <c r="Z107" s="297"/>
      <c r="AA107" s="299"/>
      <c r="AB107" s="40"/>
      <c r="AC107" s="260"/>
      <c r="BF107" s="41">
        <f>[1]Planning!W110</f>
        <v>0</v>
      </c>
      <c r="BG107" s="43">
        <f>[1]Planning!W110</f>
        <v>0</v>
      </c>
      <c r="BH107" s="259"/>
      <c r="BI107" s="259"/>
      <c r="BJ107" s="259"/>
      <c r="BL107" s="247"/>
      <c r="BM107" s="247"/>
    </row>
    <row r="108" spans="16:79" x14ac:dyDescent="0.2">
      <c r="P108" s="295" t="str">
        <f>IF(ISBLANK([1]Planning!N111),"",[1]Planning!N111)</f>
        <v/>
      </c>
      <c r="Q108" s="296"/>
      <c r="R108" s="297"/>
      <c r="S108" s="297"/>
      <c r="T108" s="297"/>
      <c r="U108" s="297"/>
      <c r="V108" s="297"/>
      <c r="W108" s="297"/>
      <c r="X108" s="297"/>
      <c r="Y108" s="298"/>
      <c r="Z108" s="297"/>
      <c r="AA108" s="299"/>
      <c r="AB108" s="40"/>
      <c r="AC108" s="260"/>
      <c r="BF108" s="41">
        <f>[1]Planning!W111</f>
        <v>0</v>
      </c>
      <c r="BG108" s="43">
        <f>[1]Planning!W111</f>
        <v>0</v>
      </c>
      <c r="BH108" s="259"/>
      <c r="BI108" s="259"/>
      <c r="BJ108" s="259"/>
    </row>
    <row r="109" spans="16:79" ht="13.5" thickBot="1" x14ac:dyDescent="0.25">
      <c r="P109" s="303" t="str">
        <f>IF(ISBLANK([1]Planning!N127),"",[1]Planning!N127)</f>
        <v/>
      </c>
      <c r="Q109" s="304"/>
      <c r="R109" s="305"/>
      <c r="S109" s="305"/>
      <c r="T109" s="305"/>
      <c r="U109" s="305"/>
      <c r="V109" s="305"/>
      <c r="W109" s="305"/>
      <c r="X109" s="305"/>
      <c r="Y109" s="306"/>
      <c r="Z109" s="305"/>
      <c r="AA109" s="307"/>
      <c r="AB109" s="40"/>
      <c r="AC109" s="260"/>
      <c r="BF109" s="41">
        <f>[1]Planning!W127</f>
        <v>0</v>
      </c>
      <c r="BG109" s="43">
        <f>[1]Planning!W127</f>
        <v>0</v>
      </c>
      <c r="BH109" s="259"/>
      <c r="BI109" s="259"/>
      <c r="BJ109" s="259"/>
    </row>
    <row r="110" spans="16:79" ht="13.5" thickBot="1" x14ac:dyDescent="0.3">
      <c r="P110" s="308"/>
      <c r="Q110" s="308"/>
      <c r="AB110" s="309"/>
      <c r="AC110" s="309"/>
      <c r="BH110" s="259"/>
      <c r="BI110" s="259"/>
      <c r="BJ110" s="259"/>
    </row>
    <row r="111" spans="16:79" x14ac:dyDescent="0.25">
      <c r="P111" s="612" t="s">
        <v>55</v>
      </c>
      <c r="Q111" s="613"/>
      <c r="R111" s="613"/>
      <c r="S111" s="613"/>
      <c r="T111" s="613"/>
      <c r="U111" s="613"/>
      <c r="V111" s="613"/>
      <c r="W111" s="613"/>
      <c r="X111" s="613"/>
      <c r="Y111" s="613"/>
      <c r="Z111" s="613"/>
      <c r="AA111" s="613"/>
      <c r="AB111" s="613"/>
      <c r="AC111" s="614"/>
      <c r="AE111" s="251"/>
      <c r="AF111" s="251"/>
      <c r="AG111" s="251"/>
      <c r="AH111" s="251"/>
      <c r="AI111" s="251"/>
      <c r="AJ111" s="310"/>
      <c r="AK111" s="310"/>
      <c r="AL111" s="251"/>
      <c r="AM111" s="251"/>
      <c r="AN111" s="251"/>
      <c r="AO111" s="310"/>
      <c r="AP111" s="310"/>
      <c r="BH111" s="259"/>
      <c r="BI111" s="259"/>
      <c r="BJ111" s="259"/>
    </row>
    <row r="112" spans="16:79" ht="13.5" thickBot="1" x14ac:dyDescent="0.3">
      <c r="P112" s="615"/>
      <c r="Q112" s="616"/>
      <c r="R112" s="616"/>
      <c r="S112" s="616"/>
      <c r="T112" s="616"/>
      <c r="U112" s="616"/>
      <c r="V112" s="616"/>
      <c r="W112" s="616"/>
      <c r="X112" s="616"/>
      <c r="Y112" s="616"/>
      <c r="Z112" s="616"/>
      <c r="AA112" s="616"/>
      <c r="AB112" s="616"/>
      <c r="AC112" s="617"/>
      <c r="AE112" s="251"/>
      <c r="AF112" s="251"/>
      <c r="AG112" s="251"/>
      <c r="AH112" s="251"/>
      <c r="AI112" s="251"/>
      <c r="AJ112" s="310"/>
      <c r="AK112" s="310"/>
      <c r="AL112" s="251"/>
      <c r="AM112" s="251"/>
      <c r="AN112" s="251"/>
      <c r="AO112" s="310"/>
      <c r="AP112" s="310"/>
    </row>
    <row r="113" spans="16:42" s="244" customFormat="1" x14ac:dyDescent="0.25">
      <c r="P113" s="590"/>
      <c r="Q113" s="591"/>
      <c r="R113" s="591"/>
      <c r="S113" s="591"/>
      <c r="T113" s="591"/>
      <c r="U113" s="591"/>
      <c r="V113" s="591"/>
      <c r="W113" s="591"/>
      <c r="X113" s="591"/>
      <c r="Y113" s="591"/>
      <c r="Z113" s="591"/>
      <c r="AA113" s="591"/>
      <c r="AB113" s="591"/>
      <c r="AC113" s="592"/>
      <c r="AE113" s="251"/>
      <c r="AF113" s="251"/>
      <c r="AG113" s="251"/>
      <c r="AH113" s="251"/>
      <c r="AI113" s="251"/>
      <c r="AJ113" s="310"/>
      <c r="AK113" s="310"/>
      <c r="AL113" s="251"/>
      <c r="AM113" s="251"/>
      <c r="AN113" s="251"/>
      <c r="AO113" s="310"/>
      <c r="AP113" s="310"/>
    </row>
    <row r="114" spans="16:42" s="244" customFormat="1" x14ac:dyDescent="0.25">
      <c r="P114" s="593"/>
      <c r="Q114" s="594"/>
      <c r="R114" s="594"/>
      <c r="S114" s="594"/>
      <c r="T114" s="594"/>
      <c r="U114" s="594"/>
      <c r="V114" s="594"/>
      <c r="W114" s="594"/>
      <c r="X114" s="594"/>
      <c r="Y114" s="594"/>
      <c r="Z114" s="594"/>
      <c r="AA114" s="594"/>
      <c r="AB114" s="594"/>
      <c r="AC114" s="595"/>
      <c r="AE114" s="251"/>
      <c r="AF114" s="311"/>
      <c r="AG114" s="251"/>
      <c r="AH114" s="251"/>
      <c r="AI114" s="251"/>
      <c r="AJ114" s="310"/>
      <c r="AK114" s="310"/>
      <c r="AL114" s="251"/>
      <c r="AM114" s="251"/>
      <c r="AN114" s="251"/>
      <c r="AO114" s="310"/>
      <c r="AP114" s="310"/>
    </row>
    <row r="115" spans="16:42" s="244" customFormat="1" x14ac:dyDescent="0.25">
      <c r="P115" s="593"/>
      <c r="Q115" s="594"/>
      <c r="R115" s="594"/>
      <c r="S115" s="594"/>
      <c r="T115" s="594"/>
      <c r="U115" s="594"/>
      <c r="V115" s="594"/>
      <c r="W115" s="594"/>
      <c r="X115" s="594"/>
      <c r="Y115" s="594"/>
      <c r="Z115" s="594"/>
      <c r="AA115" s="594"/>
      <c r="AB115" s="594"/>
      <c r="AC115" s="595"/>
      <c r="AE115" s="251"/>
      <c r="AF115" s="312"/>
      <c r="AG115" s="251"/>
      <c r="AH115" s="251"/>
      <c r="AI115" s="251"/>
      <c r="AJ115" s="310"/>
      <c r="AK115" s="310"/>
      <c r="AL115" s="251"/>
      <c r="AM115" s="251"/>
      <c r="AN115" s="251"/>
      <c r="AO115" s="310"/>
      <c r="AP115" s="310"/>
    </row>
    <row r="116" spans="16:42" s="244" customFormat="1" x14ac:dyDescent="0.25">
      <c r="P116" s="593"/>
      <c r="Q116" s="594"/>
      <c r="R116" s="594"/>
      <c r="S116" s="594"/>
      <c r="T116" s="594"/>
      <c r="U116" s="594"/>
      <c r="V116" s="594"/>
      <c r="W116" s="594"/>
      <c r="X116" s="594"/>
      <c r="Y116" s="594"/>
      <c r="Z116" s="594"/>
      <c r="AA116" s="594"/>
      <c r="AB116" s="594"/>
      <c r="AC116" s="595"/>
      <c r="AE116" s="251"/>
      <c r="AF116" s="251"/>
      <c r="AG116" s="251"/>
      <c r="AH116" s="251"/>
      <c r="AI116" s="251"/>
      <c r="AJ116" s="310"/>
      <c r="AK116" s="310"/>
      <c r="AL116" s="251"/>
      <c r="AM116" s="251"/>
      <c r="AN116" s="251"/>
      <c r="AO116" s="310"/>
      <c r="AP116" s="310"/>
    </row>
    <row r="117" spans="16:42" s="244" customFormat="1" x14ac:dyDescent="0.25">
      <c r="P117" s="593"/>
      <c r="Q117" s="594"/>
      <c r="R117" s="594"/>
      <c r="S117" s="594"/>
      <c r="T117" s="594"/>
      <c r="U117" s="594"/>
      <c r="V117" s="594"/>
      <c r="W117" s="594"/>
      <c r="X117" s="594"/>
      <c r="Y117" s="594"/>
      <c r="Z117" s="594"/>
      <c r="AA117" s="594"/>
      <c r="AB117" s="594"/>
      <c r="AC117" s="595"/>
      <c r="AE117" s="251"/>
      <c r="AF117" s="251"/>
      <c r="AG117" s="251"/>
      <c r="AH117" s="251"/>
      <c r="AI117" s="251"/>
      <c r="AJ117" s="310"/>
      <c r="AK117" s="310"/>
      <c r="AL117" s="251"/>
      <c r="AM117" s="251"/>
      <c r="AN117" s="251"/>
      <c r="AO117" s="310"/>
      <c r="AP117" s="310"/>
    </row>
    <row r="118" spans="16:42" s="244" customFormat="1" x14ac:dyDescent="0.25">
      <c r="P118" s="593"/>
      <c r="Q118" s="594"/>
      <c r="R118" s="594"/>
      <c r="S118" s="594"/>
      <c r="T118" s="594"/>
      <c r="U118" s="594"/>
      <c r="V118" s="594"/>
      <c r="W118" s="594"/>
      <c r="X118" s="594"/>
      <c r="Y118" s="594"/>
      <c r="Z118" s="594"/>
      <c r="AA118" s="594"/>
      <c r="AB118" s="594"/>
      <c r="AC118" s="595"/>
      <c r="AE118" s="251"/>
      <c r="AF118" s="251"/>
      <c r="AG118" s="251"/>
      <c r="AH118" s="251"/>
      <c r="AI118" s="251"/>
      <c r="AJ118" s="310"/>
      <c r="AK118" s="310"/>
      <c r="AL118" s="251"/>
      <c r="AM118" s="251"/>
      <c r="AN118" s="251"/>
      <c r="AO118" s="310"/>
      <c r="AP118" s="310"/>
    </row>
    <row r="119" spans="16:42" s="244" customFormat="1" x14ac:dyDescent="0.25">
      <c r="P119" s="596"/>
      <c r="Q119" s="386"/>
      <c r="R119" s="386"/>
      <c r="S119" s="386"/>
      <c r="T119" s="386"/>
      <c r="U119" s="386"/>
      <c r="V119" s="386"/>
      <c r="W119" s="386"/>
      <c r="X119" s="386"/>
      <c r="Y119" s="386"/>
      <c r="Z119" s="386"/>
      <c r="AA119" s="386"/>
      <c r="AB119" s="386"/>
      <c r="AC119" s="387"/>
      <c r="AE119" s="251"/>
      <c r="AF119" s="251"/>
      <c r="AG119" s="251"/>
      <c r="AH119" s="251"/>
      <c r="AI119" s="251"/>
      <c r="AJ119" s="310"/>
      <c r="AK119" s="310"/>
      <c r="AL119" s="251"/>
      <c r="AM119" s="251"/>
      <c r="AN119" s="251"/>
      <c r="AO119" s="310"/>
      <c r="AP119" s="310"/>
    </row>
    <row r="120" spans="16:42" s="244" customFormat="1" x14ac:dyDescent="0.25">
      <c r="P120" s="596"/>
      <c r="Q120" s="386"/>
      <c r="R120" s="386"/>
      <c r="S120" s="386"/>
      <c r="T120" s="386"/>
      <c r="U120" s="386"/>
      <c r="V120" s="386"/>
      <c r="W120" s="386"/>
      <c r="X120" s="386"/>
      <c r="Y120" s="386"/>
      <c r="Z120" s="386"/>
      <c r="AA120" s="386"/>
      <c r="AB120" s="386"/>
      <c r="AC120" s="387"/>
      <c r="AE120" s="251"/>
      <c r="AF120" s="251"/>
      <c r="AG120" s="251"/>
      <c r="AH120" s="251"/>
      <c r="AI120" s="251"/>
      <c r="AJ120" s="310"/>
      <c r="AK120" s="310"/>
      <c r="AL120" s="251"/>
      <c r="AM120" s="251"/>
      <c r="AN120" s="251"/>
      <c r="AO120" s="310"/>
      <c r="AP120" s="310"/>
    </row>
    <row r="121" spans="16:42" s="244" customFormat="1" x14ac:dyDescent="0.25">
      <c r="P121" s="596"/>
      <c r="Q121" s="386"/>
      <c r="R121" s="386"/>
      <c r="S121" s="386"/>
      <c r="T121" s="386"/>
      <c r="U121" s="386"/>
      <c r="V121" s="386"/>
      <c r="W121" s="386"/>
      <c r="X121" s="386"/>
      <c r="Y121" s="386"/>
      <c r="Z121" s="386"/>
      <c r="AA121" s="386"/>
      <c r="AB121" s="386"/>
      <c r="AC121" s="387"/>
      <c r="AE121" s="251"/>
      <c r="AF121" s="251"/>
      <c r="AG121" s="251"/>
      <c r="AH121" s="251"/>
      <c r="AI121" s="251"/>
      <c r="AJ121" s="310"/>
      <c r="AK121" s="310"/>
      <c r="AL121" s="251"/>
      <c r="AM121" s="251"/>
      <c r="AN121" s="251"/>
      <c r="AO121" s="310"/>
      <c r="AP121" s="310"/>
    </row>
    <row r="122" spans="16:42" s="244" customFormat="1" x14ac:dyDescent="0.25">
      <c r="P122" s="596"/>
      <c r="Q122" s="386"/>
      <c r="R122" s="386"/>
      <c r="S122" s="386"/>
      <c r="T122" s="386"/>
      <c r="U122" s="386"/>
      <c r="V122" s="386"/>
      <c r="W122" s="386"/>
      <c r="X122" s="386"/>
      <c r="Y122" s="386"/>
      <c r="Z122" s="386"/>
      <c r="AA122" s="386"/>
      <c r="AB122" s="386"/>
      <c r="AC122" s="387"/>
      <c r="AE122" s="251"/>
      <c r="AF122" s="251"/>
      <c r="AG122" s="251"/>
      <c r="AH122" s="251"/>
      <c r="AI122" s="251"/>
      <c r="AJ122" s="310"/>
      <c r="AK122" s="310"/>
      <c r="AL122" s="251"/>
      <c r="AM122" s="251"/>
      <c r="AN122" s="251"/>
      <c r="AO122" s="310"/>
      <c r="AP122" s="310"/>
    </row>
    <row r="123" spans="16:42" s="244" customFormat="1" x14ac:dyDescent="0.25">
      <c r="P123" s="596"/>
      <c r="Q123" s="386"/>
      <c r="R123" s="386"/>
      <c r="S123" s="386"/>
      <c r="T123" s="386"/>
      <c r="U123" s="386"/>
      <c r="V123" s="386"/>
      <c r="W123" s="386"/>
      <c r="X123" s="386"/>
      <c r="Y123" s="386"/>
      <c r="Z123" s="386"/>
      <c r="AA123" s="386"/>
      <c r="AB123" s="386"/>
      <c r="AC123" s="387"/>
      <c r="AE123" s="251"/>
      <c r="AF123" s="251"/>
      <c r="AG123" s="251"/>
      <c r="AH123" s="251"/>
      <c r="AI123" s="251"/>
      <c r="AJ123" s="310"/>
      <c r="AK123" s="310"/>
      <c r="AL123" s="251"/>
      <c r="AM123" s="251"/>
      <c r="AN123" s="251"/>
      <c r="AO123" s="310"/>
      <c r="AP123" s="310"/>
    </row>
    <row r="124" spans="16:42" s="244" customFormat="1" x14ac:dyDescent="0.25">
      <c r="P124" s="596"/>
      <c r="Q124" s="386"/>
      <c r="R124" s="386"/>
      <c r="S124" s="386"/>
      <c r="T124" s="386"/>
      <c r="U124" s="386"/>
      <c r="V124" s="386"/>
      <c r="W124" s="386"/>
      <c r="X124" s="386"/>
      <c r="Y124" s="386"/>
      <c r="Z124" s="386"/>
      <c r="AA124" s="386"/>
      <c r="AB124" s="386"/>
      <c r="AC124" s="387"/>
      <c r="AE124" s="251"/>
      <c r="AF124" s="251"/>
      <c r="AG124" s="251"/>
      <c r="AH124" s="251"/>
      <c r="AI124" s="251"/>
      <c r="AJ124" s="310"/>
      <c r="AK124" s="310"/>
      <c r="AL124" s="251"/>
      <c r="AM124" s="251"/>
      <c r="AN124" s="251"/>
      <c r="AO124" s="310"/>
      <c r="AP124" s="310"/>
    </row>
    <row r="125" spans="16:42" s="244" customFormat="1" x14ac:dyDescent="0.25">
      <c r="P125" s="596"/>
      <c r="Q125" s="386"/>
      <c r="R125" s="386"/>
      <c r="S125" s="386"/>
      <c r="T125" s="386"/>
      <c r="U125" s="386"/>
      <c r="V125" s="386"/>
      <c r="W125" s="386"/>
      <c r="X125" s="386"/>
      <c r="Y125" s="386"/>
      <c r="Z125" s="386"/>
      <c r="AA125" s="386"/>
      <c r="AB125" s="386"/>
      <c r="AC125" s="387"/>
      <c r="AE125" s="251"/>
      <c r="AF125" s="251"/>
      <c r="AG125" s="251"/>
      <c r="AH125" s="251"/>
      <c r="AI125" s="251"/>
      <c r="AJ125" s="310"/>
      <c r="AK125" s="310"/>
      <c r="AL125" s="251"/>
      <c r="AM125" s="251"/>
      <c r="AN125" s="251"/>
      <c r="AO125" s="310"/>
      <c r="AP125" s="310"/>
    </row>
    <row r="126" spans="16:42" s="244" customFormat="1" x14ac:dyDescent="0.25">
      <c r="P126" s="596"/>
      <c r="Q126" s="386"/>
      <c r="R126" s="386"/>
      <c r="S126" s="386"/>
      <c r="T126" s="386"/>
      <c r="U126" s="386"/>
      <c r="V126" s="386"/>
      <c r="W126" s="386"/>
      <c r="X126" s="386"/>
      <c r="Y126" s="386"/>
      <c r="Z126" s="386"/>
      <c r="AA126" s="386"/>
      <c r="AB126" s="386"/>
      <c r="AC126" s="387"/>
      <c r="AE126" s="251"/>
      <c r="AF126" s="251"/>
      <c r="AG126" s="251"/>
      <c r="AH126" s="251"/>
      <c r="AI126" s="251"/>
      <c r="AJ126" s="310"/>
      <c r="AK126" s="310"/>
      <c r="AL126" s="251"/>
      <c r="AM126" s="251"/>
      <c r="AN126" s="251"/>
      <c r="AO126" s="310"/>
      <c r="AP126" s="310"/>
    </row>
    <row r="127" spans="16:42" s="244" customFormat="1" x14ac:dyDescent="0.25">
      <c r="P127" s="596"/>
      <c r="Q127" s="386"/>
      <c r="R127" s="386"/>
      <c r="S127" s="386"/>
      <c r="T127" s="386"/>
      <c r="U127" s="386"/>
      <c r="V127" s="386"/>
      <c r="W127" s="386"/>
      <c r="X127" s="386"/>
      <c r="Y127" s="386"/>
      <c r="Z127" s="386"/>
      <c r="AA127" s="386"/>
      <c r="AB127" s="386"/>
      <c r="AC127" s="387"/>
      <c r="AE127" s="251"/>
      <c r="AF127" s="251"/>
      <c r="AG127" s="251"/>
      <c r="AH127" s="251"/>
      <c r="AI127" s="251"/>
      <c r="AJ127" s="310"/>
      <c r="AK127" s="310"/>
      <c r="AL127" s="251"/>
      <c r="AM127" s="251"/>
      <c r="AN127" s="251"/>
      <c r="AO127" s="310"/>
      <c r="AP127" s="310"/>
    </row>
    <row r="128" spans="16:42" s="244" customFormat="1" x14ac:dyDescent="0.25">
      <c r="P128" s="596"/>
      <c r="Q128" s="386"/>
      <c r="R128" s="386"/>
      <c r="S128" s="386"/>
      <c r="T128" s="386"/>
      <c r="U128" s="386"/>
      <c r="V128" s="386"/>
      <c r="W128" s="386"/>
      <c r="X128" s="386"/>
      <c r="Y128" s="386"/>
      <c r="Z128" s="386"/>
      <c r="AA128" s="386"/>
      <c r="AB128" s="386"/>
      <c r="AC128" s="387"/>
      <c r="AE128" s="251"/>
      <c r="AF128" s="251"/>
      <c r="AG128" s="251"/>
      <c r="AH128" s="251"/>
      <c r="AI128" s="251"/>
      <c r="AJ128" s="310"/>
      <c r="AK128" s="310"/>
      <c r="AL128" s="251"/>
      <c r="AM128" s="251"/>
      <c r="AN128" s="251"/>
      <c r="AO128" s="310"/>
      <c r="AP128" s="310"/>
    </row>
    <row r="129" spans="16:42" s="244" customFormat="1" x14ac:dyDescent="0.25">
      <c r="P129" s="596"/>
      <c r="Q129" s="386"/>
      <c r="R129" s="386"/>
      <c r="S129" s="386"/>
      <c r="T129" s="386"/>
      <c r="U129" s="386"/>
      <c r="V129" s="386"/>
      <c r="W129" s="386"/>
      <c r="X129" s="386"/>
      <c r="Y129" s="386"/>
      <c r="Z129" s="386"/>
      <c r="AA129" s="386"/>
      <c r="AB129" s="386"/>
      <c r="AC129" s="387"/>
      <c r="AE129" s="251"/>
      <c r="AF129" s="251"/>
      <c r="AG129" s="251"/>
      <c r="AH129" s="251"/>
      <c r="AI129" s="251"/>
      <c r="AJ129" s="310"/>
      <c r="AK129" s="310"/>
      <c r="AL129" s="251"/>
      <c r="AM129" s="251"/>
      <c r="AN129" s="251"/>
      <c r="AO129" s="310"/>
      <c r="AP129" s="310"/>
    </row>
    <row r="130" spans="16:42" s="244" customFormat="1" ht="13.5" thickBot="1" x14ac:dyDescent="0.3">
      <c r="P130" s="597"/>
      <c r="Q130" s="598"/>
      <c r="R130" s="598"/>
      <c r="S130" s="598"/>
      <c r="T130" s="598"/>
      <c r="U130" s="598"/>
      <c r="V130" s="598"/>
      <c r="W130" s="598"/>
      <c r="X130" s="598"/>
      <c r="Y130" s="598"/>
      <c r="Z130" s="598"/>
      <c r="AA130" s="598"/>
      <c r="AB130" s="598"/>
      <c r="AC130" s="599"/>
      <c r="AE130" s="251"/>
      <c r="AF130" s="251"/>
      <c r="AG130" s="251"/>
      <c r="AH130" s="251"/>
      <c r="AI130" s="251"/>
      <c r="AJ130" s="310"/>
      <c r="AK130" s="310"/>
      <c r="AL130" s="251"/>
      <c r="AM130" s="251"/>
      <c r="AN130" s="251"/>
      <c r="AO130" s="310"/>
      <c r="AP130" s="310"/>
    </row>
    <row r="131" spans="16:42" s="244" customFormat="1" x14ac:dyDescent="0.25">
      <c r="P131" s="251"/>
      <c r="Q131" s="251"/>
      <c r="R131" s="251"/>
      <c r="S131" s="251"/>
      <c r="T131" s="251"/>
      <c r="U131" s="251"/>
      <c r="V131" s="251"/>
      <c r="W131" s="251"/>
      <c r="X131" s="251"/>
      <c r="Y131" s="251"/>
      <c r="Z131" s="251"/>
      <c r="AA131" s="251"/>
      <c r="AB131" s="251"/>
      <c r="AC131" s="251"/>
      <c r="AD131" s="251"/>
      <c r="AE131" s="251"/>
      <c r="AF131" s="251"/>
      <c r="AG131" s="251"/>
      <c r="AH131" s="251"/>
      <c r="AI131" s="251"/>
      <c r="AJ131" s="310"/>
      <c r="AK131" s="310"/>
      <c r="AL131" s="251"/>
      <c r="AM131" s="251"/>
      <c r="AN131" s="251"/>
      <c r="AO131" s="310"/>
      <c r="AP131" s="310"/>
    </row>
    <row r="132" spans="16:42" s="244" customFormat="1" x14ac:dyDescent="0.25">
      <c r="P132" s="251"/>
      <c r="Q132" s="251"/>
      <c r="R132" s="251"/>
      <c r="S132" s="251"/>
      <c r="T132" s="251"/>
      <c r="U132" s="251"/>
      <c r="V132" s="251"/>
      <c r="W132" s="251"/>
      <c r="X132" s="251"/>
      <c r="Y132" s="251"/>
      <c r="Z132" s="251"/>
      <c r="AA132" s="251"/>
      <c r="AB132" s="251"/>
      <c r="AC132" s="251"/>
      <c r="AD132" s="251"/>
      <c r="AE132" s="251"/>
      <c r="AF132" s="251"/>
      <c r="AG132" s="251"/>
      <c r="AH132" s="251"/>
      <c r="AI132" s="251"/>
      <c r="AJ132" s="310"/>
      <c r="AK132" s="310"/>
      <c r="AL132" s="251"/>
      <c r="AM132" s="251"/>
      <c r="AN132" s="251"/>
      <c r="AO132" s="310"/>
      <c r="AP132" s="310"/>
    </row>
    <row r="133" spans="16:42" s="244" customFormat="1" x14ac:dyDescent="0.25">
      <c r="P133" s="251"/>
      <c r="Q133" s="251"/>
      <c r="R133" s="251"/>
      <c r="S133" s="251"/>
      <c r="T133" s="251"/>
      <c r="U133" s="251"/>
      <c r="V133" s="251"/>
      <c r="W133" s="251"/>
      <c r="X133" s="251"/>
      <c r="Y133" s="251"/>
      <c r="Z133" s="251"/>
      <c r="AA133" s="251"/>
      <c r="AB133" s="251"/>
      <c r="AC133" s="251"/>
      <c r="AD133" s="251"/>
      <c r="AE133" s="251"/>
      <c r="AF133" s="251"/>
      <c r="AG133" s="251"/>
      <c r="AH133" s="251"/>
      <c r="AI133" s="251"/>
      <c r="AJ133" s="310"/>
      <c r="AK133" s="310"/>
      <c r="AL133" s="251"/>
      <c r="AM133" s="251"/>
      <c r="AN133" s="251"/>
      <c r="AO133" s="310"/>
      <c r="AP133" s="310"/>
    </row>
    <row r="134" spans="16:42" s="244" customFormat="1" x14ac:dyDescent="0.25">
      <c r="P134" s="251"/>
      <c r="Q134" s="251"/>
      <c r="R134" s="251"/>
      <c r="S134" s="251"/>
      <c r="T134" s="251"/>
      <c r="U134" s="251"/>
      <c r="V134" s="251"/>
      <c r="W134" s="251"/>
      <c r="X134" s="251"/>
      <c r="Y134" s="251"/>
      <c r="Z134" s="251"/>
      <c r="AA134" s="251"/>
      <c r="AB134" s="251"/>
      <c r="AC134" s="251"/>
      <c r="AD134" s="251"/>
      <c r="AE134" s="251"/>
      <c r="AF134" s="251"/>
      <c r="AG134" s="251"/>
      <c r="AH134" s="251"/>
      <c r="AI134" s="251"/>
      <c r="AJ134" s="310"/>
      <c r="AK134" s="310"/>
      <c r="AL134" s="251"/>
      <c r="AM134" s="251"/>
      <c r="AN134" s="251"/>
      <c r="AO134" s="310"/>
      <c r="AP134" s="310"/>
    </row>
    <row r="135" spans="16:42" s="244" customFormat="1" x14ac:dyDescent="0.25">
      <c r="P135" s="251"/>
      <c r="Q135" s="251"/>
      <c r="R135" s="251"/>
      <c r="S135" s="251"/>
      <c r="T135" s="251"/>
      <c r="U135" s="251"/>
      <c r="V135" s="251"/>
      <c r="W135" s="251"/>
      <c r="X135" s="251"/>
      <c r="Y135" s="251"/>
      <c r="Z135" s="251"/>
      <c r="AA135" s="251"/>
      <c r="AB135" s="251"/>
      <c r="AC135" s="251"/>
      <c r="AD135" s="251"/>
      <c r="AE135" s="251"/>
      <c r="AF135" s="251"/>
      <c r="AG135" s="251"/>
      <c r="AH135" s="251"/>
      <c r="AI135" s="251"/>
      <c r="AJ135" s="310"/>
      <c r="AK135" s="310"/>
      <c r="AL135" s="251"/>
      <c r="AM135" s="251"/>
      <c r="AN135" s="251"/>
      <c r="AO135" s="310"/>
      <c r="AP135" s="310"/>
    </row>
    <row r="136" spans="16:42" s="244" customFormat="1" x14ac:dyDescent="0.25">
      <c r="P136" s="251"/>
      <c r="Q136" s="251"/>
      <c r="R136" s="251"/>
      <c r="S136" s="251"/>
      <c r="T136" s="251"/>
      <c r="U136" s="251"/>
      <c r="V136" s="251"/>
      <c r="W136" s="251"/>
      <c r="X136" s="251"/>
      <c r="Y136" s="251"/>
      <c r="Z136" s="251"/>
      <c r="AA136" s="251"/>
      <c r="AB136" s="251"/>
      <c r="AC136" s="251"/>
      <c r="AD136" s="251"/>
      <c r="AE136" s="251"/>
      <c r="AF136" s="251"/>
      <c r="AG136" s="251"/>
      <c r="AH136" s="251"/>
      <c r="AI136" s="251"/>
      <c r="AJ136" s="310"/>
      <c r="AK136" s="310"/>
      <c r="AL136" s="251"/>
      <c r="AM136" s="251"/>
      <c r="AN136" s="251"/>
      <c r="AO136" s="310"/>
      <c r="AP136" s="310"/>
    </row>
    <row r="137" spans="16:42" s="244" customFormat="1" x14ac:dyDescent="0.25">
      <c r="P137" s="251"/>
      <c r="Q137" s="251"/>
      <c r="R137" s="251"/>
      <c r="S137" s="251"/>
      <c r="T137" s="251"/>
      <c r="U137" s="251"/>
      <c r="V137" s="251"/>
      <c r="W137" s="251"/>
      <c r="X137" s="251"/>
      <c r="Y137" s="251"/>
      <c r="Z137" s="251"/>
      <c r="AA137" s="251"/>
      <c r="AB137" s="251"/>
      <c r="AC137" s="251"/>
      <c r="AD137" s="251"/>
      <c r="AE137" s="251"/>
      <c r="AF137" s="251"/>
      <c r="AG137" s="251"/>
      <c r="AH137" s="251"/>
      <c r="AI137" s="251"/>
      <c r="AJ137" s="310"/>
      <c r="AK137" s="310"/>
      <c r="AL137" s="251"/>
      <c r="AM137" s="251"/>
      <c r="AN137" s="251"/>
      <c r="AO137" s="310"/>
      <c r="AP137" s="310"/>
    </row>
    <row r="138" spans="16:42" s="244" customFormat="1" x14ac:dyDescent="0.25">
      <c r="P138" s="251"/>
      <c r="Q138" s="251"/>
      <c r="R138" s="251"/>
      <c r="S138" s="251"/>
      <c r="T138" s="251"/>
      <c r="U138" s="251"/>
      <c r="V138" s="251"/>
      <c r="W138" s="251"/>
      <c r="X138" s="251"/>
      <c r="Y138" s="251"/>
      <c r="Z138" s="251"/>
      <c r="AA138" s="251"/>
      <c r="AB138" s="251"/>
      <c r="AC138" s="251"/>
      <c r="AD138" s="251"/>
      <c r="AE138" s="251"/>
      <c r="AF138" s="251"/>
      <c r="AG138" s="251"/>
      <c r="AH138" s="251"/>
      <c r="AI138" s="251"/>
      <c r="AJ138" s="310"/>
      <c r="AK138" s="310"/>
      <c r="AL138" s="251"/>
      <c r="AM138" s="251"/>
      <c r="AN138" s="251"/>
      <c r="AO138" s="310"/>
      <c r="AP138" s="310"/>
    </row>
    <row r="139" spans="16:42" s="244" customFormat="1" x14ac:dyDescent="0.25">
      <c r="P139" s="251"/>
      <c r="Q139" s="251"/>
      <c r="R139" s="251"/>
      <c r="S139" s="251"/>
      <c r="T139" s="251"/>
      <c r="U139" s="251"/>
      <c r="V139" s="251"/>
      <c r="W139" s="251"/>
      <c r="X139" s="251"/>
      <c r="Y139" s="251"/>
      <c r="Z139" s="251"/>
      <c r="AA139" s="251"/>
      <c r="AB139" s="251"/>
      <c r="AC139" s="251"/>
      <c r="AD139" s="251"/>
      <c r="AE139" s="251"/>
      <c r="AF139" s="251"/>
      <c r="AG139" s="251"/>
      <c r="AH139" s="251"/>
      <c r="AI139" s="251"/>
      <c r="AJ139" s="310"/>
      <c r="AK139" s="310"/>
      <c r="AL139" s="251"/>
      <c r="AM139" s="251"/>
      <c r="AN139" s="251"/>
      <c r="AO139" s="310"/>
      <c r="AP139" s="310"/>
    </row>
    <row r="140" spans="16:42" s="244" customFormat="1" x14ac:dyDescent="0.25">
      <c r="P140" s="251"/>
      <c r="Q140" s="251"/>
      <c r="R140" s="251"/>
      <c r="S140" s="251"/>
      <c r="T140" s="251"/>
      <c r="U140" s="251"/>
      <c r="V140" s="251"/>
      <c r="W140" s="251"/>
      <c r="X140" s="251"/>
      <c r="Y140" s="251"/>
      <c r="Z140" s="251"/>
      <c r="AA140" s="251"/>
      <c r="AB140" s="251"/>
      <c r="AC140" s="251"/>
      <c r="AD140" s="251"/>
      <c r="AE140" s="251"/>
      <c r="AF140" s="251"/>
      <c r="AG140" s="251"/>
      <c r="AH140" s="251"/>
      <c r="AI140" s="251"/>
      <c r="AJ140" s="310"/>
      <c r="AK140" s="310"/>
      <c r="AL140" s="251"/>
      <c r="AM140" s="251"/>
      <c r="AN140" s="251"/>
      <c r="AO140" s="310"/>
      <c r="AP140" s="310"/>
    </row>
    <row r="141" spans="16:42" s="244" customFormat="1" x14ac:dyDescent="0.25">
      <c r="P141" s="251"/>
      <c r="Q141" s="251"/>
      <c r="R141" s="251"/>
      <c r="S141" s="251"/>
      <c r="T141" s="251"/>
      <c r="U141" s="251"/>
      <c r="V141" s="251"/>
      <c r="W141" s="251"/>
      <c r="X141" s="251"/>
      <c r="Y141" s="251"/>
      <c r="Z141" s="251"/>
      <c r="AA141" s="251"/>
      <c r="AB141" s="251"/>
      <c r="AC141" s="251"/>
      <c r="AD141" s="251"/>
      <c r="AE141" s="251"/>
      <c r="AF141" s="251"/>
      <c r="AG141" s="251"/>
      <c r="AH141" s="251"/>
      <c r="AI141" s="251"/>
      <c r="AJ141" s="310"/>
      <c r="AK141" s="310"/>
      <c r="AL141" s="251"/>
      <c r="AM141" s="251"/>
      <c r="AN141" s="251"/>
      <c r="AO141" s="310"/>
      <c r="AP141" s="310"/>
    </row>
    <row r="142" spans="16:42" s="244" customFormat="1" x14ac:dyDescent="0.25">
      <c r="P142" s="251"/>
      <c r="Q142" s="251"/>
      <c r="R142" s="251"/>
      <c r="S142" s="251"/>
      <c r="T142" s="251"/>
      <c r="U142" s="251"/>
      <c r="V142" s="251"/>
      <c r="W142" s="251"/>
      <c r="X142" s="251"/>
      <c r="Y142" s="251"/>
      <c r="Z142" s="251"/>
      <c r="AA142" s="251"/>
      <c r="AB142" s="251"/>
      <c r="AC142" s="251"/>
      <c r="AD142" s="251"/>
      <c r="AE142" s="251"/>
      <c r="AF142" s="251"/>
      <c r="AG142" s="251"/>
      <c r="AH142" s="251"/>
      <c r="AI142" s="251"/>
      <c r="AJ142" s="310"/>
      <c r="AK142" s="310"/>
      <c r="AL142" s="251"/>
      <c r="AM142" s="251"/>
      <c r="AN142" s="251"/>
      <c r="AO142" s="310"/>
      <c r="AP142" s="310"/>
    </row>
    <row r="143" spans="16:42" s="244" customFormat="1" x14ac:dyDescent="0.25">
      <c r="P143" s="251"/>
      <c r="Q143" s="251"/>
      <c r="R143" s="251"/>
      <c r="S143" s="251"/>
      <c r="T143" s="251"/>
      <c r="U143" s="251"/>
      <c r="V143" s="251"/>
      <c r="W143" s="251"/>
      <c r="X143" s="251"/>
      <c r="Y143" s="251"/>
      <c r="Z143" s="251"/>
      <c r="AA143" s="251"/>
      <c r="AB143" s="251"/>
      <c r="AC143" s="251"/>
      <c r="AD143" s="251"/>
      <c r="AE143" s="251"/>
      <c r="AF143" s="251"/>
      <c r="AG143" s="251"/>
      <c r="AH143" s="251"/>
      <c r="AI143" s="251"/>
      <c r="AJ143" s="310"/>
      <c r="AK143" s="310"/>
      <c r="AL143" s="251"/>
      <c r="AM143" s="251"/>
      <c r="AN143" s="251"/>
      <c r="AO143" s="310"/>
      <c r="AP143" s="310"/>
    </row>
    <row r="144" spans="16:42" s="244" customFormat="1" x14ac:dyDescent="0.25">
      <c r="P144" s="251"/>
      <c r="Q144" s="251"/>
      <c r="R144" s="251"/>
      <c r="S144" s="251"/>
      <c r="T144" s="251"/>
      <c r="U144" s="251"/>
      <c r="V144" s="251"/>
      <c r="W144" s="251"/>
      <c r="X144" s="251"/>
      <c r="Y144" s="251"/>
      <c r="Z144" s="251"/>
      <c r="AA144" s="251"/>
      <c r="AB144" s="251"/>
      <c r="AC144" s="251"/>
      <c r="AD144" s="251"/>
      <c r="AE144" s="251"/>
      <c r="AF144" s="251"/>
      <c r="AG144" s="251"/>
      <c r="AH144" s="251"/>
      <c r="AI144" s="251"/>
      <c r="AJ144" s="310"/>
      <c r="AK144" s="310"/>
      <c r="AL144" s="251"/>
      <c r="AM144" s="251"/>
      <c r="AN144" s="251"/>
      <c r="AO144" s="310"/>
      <c r="AP144" s="310"/>
    </row>
    <row r="145" spans="16:42" s="244" customFormat="1" x14ac:dyDescent="0.25">
      <c r="P145" s="251"/>
      <c r="Q145" s="251"/>
      <c r="R145" s="251"/>
      <c r="S145" s="251"/>
      <c r="T145" s="251"/>
      <c r="U145" s="251"/>
      <c r="V145" s="251"/>
      <c r="W145" s="251"/>
      <c r="X145" s="251"/>
      <c r="Y145" s="251"/>
      <c r="Z145" s="251"/>
      <c r="AA145" s="251"/>
      <c r="AB145" s="251"/>
      <c r="AC145" s="251"/>
      <c r="AD145" s="251"/>
      <c r="AE145" s="251"/>
      <c r="AF145" s="251"/>
      <c r="AG145" s="251"/>
      <c r="AH145" s="251"/>
      <c r="AI145" s="251"/>
      <c r="AJ145" s="310"/>
      <c r="AK145" s="310"/>
      <c r="AL145" s="251"/>
      <c r="AM145" s="251"/>
      <c r="AN145" s="251"/>
      <c r="AO145" s="310"/>
      <c r="AP145" s="310"/>
    </row>
    <row r="146" spans="16:42" s="244" customFormat="1" x14ac:dyDescent="0.25">
      <c r="P146" s="251"/>
      <c r="Q146" s="251"/>
      <c r="R146" s="251"/>
      <c r="S146" s="251"/>
      <c r="T146" s="251"/>
      <c r="U146" s="251"/>
      <c r="V146" s="251"/>
      <c r="W146" s="251"/>
      <c r="X146" s="251"/>
      <c r="Y146" s="251"/>
      <c r="Z146" s="251"/>
      <c r="AA146" s="251"/>
      <c r="AB146" s="251"/>
      <c r="AC146" s="251"/>
      <c r="AD146" s="251"/>
      <c r="AE146" s="251"/>
      <c r="AF146" s="251"/>
      <c r="AG146" s="251"/>
      <c r="AH146" s="251"/>
      <c r="AI146" s="251"/>
      <c r="AJ146" s="310"/>
      <c r="AK146" s="310"/>
      <c r="AL146" s="251"/>
      <c r="AM146" s="251"/>
      <c r="AN146" s="251"/>
      <c r="AO146" s="310"/>
      <c r="AP146" s="310"/>
    </row>
    <row r="147" spans="16:42" s="244" customFormat="1" x14ac:dyDescent="0.25">
      <c r="P147" s="251"/>
      <c r="Q147" s="251"/>
      <c r="R147" s="251"/>
      <c r="S147" s="251"/>
      <c r="T147" s="251"/>
      <c r="U147" s="251"/>
      <c r="V147" s="251"/>
      <c r="W147" s="251"/>
      <c r="X147" s="251"/>
      <c r="Y147" s="251"/>
      <c r="Z147" s="251"/>
      <c r="AA147" s="251"/>
      <c r="AB147" s="251"/>
      <c r="AC147" s="251"/>
      <c r="AD147" s="251"/>
      <c r="AE147" s="251"/>
      <c r="AF147" s="251"/>
      <c r="AG147" s="251"/>
      <c r="AH147" s="251"/>
      <c r="AI147" s="251"/>
      <c r="AJ147" s="310"/>
      <c r="AK147" s="310"/>
      <c r="AL147" s="251"/>
      <c r="AM147" s="251"/>
      <c r="AN147" s="251"/>
      <c r="AO147" s="310"/>
      <c r="AP147" s="310"/>
    </row>
    <row r="148" spans="16:42" s="244" customFormat="1" x14ac:dyDescent="0.25">
      <c r="P148" s="251"/>
      <c r="Q148" s="251"/>
      <c r="R148" s="251"/>
      <c r="S148" s="251"/>
      <c r="T148" s="251"/>
      <c r="U148" s="251"/>
      <c r="V148" s="251"/>
      <c r="W148" s="251"/>
      <c r="X148" s="251"/>
      <c r="Y148" s="251"/>
      <c r="Z148" s="251"/>
      <c r="AA148" s="251"/>
      <c r="AB148" s="251"/>
      <c r="AC148" s="251"/>
      <c r="AD148" s="251"/>
      <c r="AE148" s="251"/>
      <c r="AF148" s="251"/>
      <c r="AG148" s="251"/>
      <c r="AH148" s="251"/>
      <c r="AI148" s="251"/>
      <c r="AJ148" s="310"/>
      <c r="AK148" s="310"/>
      <c r="AL148" s="251"/>
      <c r="AM148" s="251"/>
      <c r="AN148" s="251"/>
      <c r="AO148" s="310"/>
      <c r="AP148" s="310"/>
    </row>
    <row r="149" spans="16:42" s="244" customFormat="1" x14ac:dyDescent="0.25">
      <c r="P149" s="251"/>
      <c r="Q149" s="251"/>
      <c r="R149" s="251"/>
      <c r="S149" s="251"/>
      <c r="T149" s="251"/>
      <c r="U149" s="251"/>
      <c r="V149" s="251"/>
      <c r="W149" s="251"/>
      <c r="X149" s="251"/>
      <c r="Y149" s="251"/>
      <c r="Z149" s="251"/>
      <c r="AA149" s="251"/>
      <c r="AB149" s="251"/>
      <c r="AC149" s="251"/>
      <c r="AD149" s="251"/>
      <c r="AE149" s="251"/>
      <c r="AF149" s="251"/>
      <c r="AG149" s="251"/>
      <c r="AH149" s="251"/>
      <c r="AI149" s="251"/>
      <c r="AJ149" s="310"/>
      <c r="AK149" s="310"/>
      <c r="AL149" s="251"/>
      <c r="AM149" s="251"/>
      <c r="AN149" s="251"/>
      <c r="AO149" s="310"/>
      <c r="AP149" s="310"/>
    </row>
    <row r="150" spans="16:42" s="244" customFormat="1" x14ac:dyDescent="0.25">
      <c r="P150" s="251"/>
      <c r="Q150" s="251"/>
      <c r="R150" s="251"/>
      <c r="S150" s="251"/>
      <c r="T150" s="251"/>
      <c r="U150" s="251"/>
      <c r="V150" s="251"/>
      <c r="W150" s="251"/>
      <c r="X150" s="251"/>
      <c r="Y150" s="251"/>
      <c r="Z150" s="251"/>
      <c r="AA150" s="251"/>
      <c r="AB150" s="251"/>
      <c r="AC150" s="251"/>
      <c r="AD150" s="251"/>
      <c r="AE150" s="251"/>
      <c r="AF150" s="251"/>
      <c r="AG150" s="251"/>
      <c r="AH150" s="251"/>
      <c r="AI150" s="251"/>
      <c r="AJ150" s="310"/>
      <c r="AK150" s="310"/>
      <c r="AL150" s="251"/>
      <c r="AM150" s="251"/>
      <c r="AN150" s="251"/>
      <c r="AO150" s="310"/>
      <c r="AP150" s="310"/>
    </row>
    <row r="151" spans="16:42" s="244" customFormat="1" x14ac:dyDescent="0.25">
      <c r="P151" s="251"/>
      <c r="Q151" s="251"/>
      <c r="R151" s="251"/>
      <c r="S151" s="251"/>
      <c r="T151" s="251"/>
      <c r="U151" s="251"/>
      <c r="V151" s="251"/>
      <c r="W151" s="251"/>
      <c r="X151" s="251"/>
      <c r="Y151" s="251"/>
      <c r="Z151" s="251"/>
      <c r="AA151" s="251"/>
      <c r="AB151" s="251"/>
      <c r="AC151" s="251"/>
      <c r="AD151" s="251"/>
      <c r="AE151" s="251"/>
      <c r="AF151" s="251"/>
      <c r="AG151" s="251"/>
      <c r="AH151" s="251"/>
      <c r="AI151" s="251"/>
      <c r="AJ151" s="310"/>
      <c r="AK151" s="310"/>
      <c r="AL151" s="251"/>
      <c r="AM151" s="251"/>
      <c r="AN151" s="251"/>
      <c r="AO151" s="310"/>
      <c r="AP151" s="310"/>
    </row>
    <row r="152" spans="16:42" s="244" customFormat="1" x14ac:dyDescent="0.25">
      <c r="P152" s="251"/>
      <c r="Q152" s="251"/>
      <c r="R152" s="251"/>
      <c r="S152" s="251"/>
      <c r="T152" s="251"/>
      <c r="U152" s="251"/>
      <c r="V152" s="251"/>
      <c r="W152" s="251"/>
      <c r="X152" s="251"/>
      <c r="Y152" s="251"/>
      <c r="Z152" s="251"/>
      <c r="AA152" s="251"/>
      <c r="AB152" s="251"/>
      <c r="AC152" s="251"/>
      <c r="AD152" s="251"/>
      <c r="AE152" s="251"/>
      <c r="AF152" s="251"/>
      <c r="AG152" s="251"/>
      <c r="AH152" s="251"/>
      <c r="AI152" s="251"/>
      <c r="AJ152" s="310"/>
      <c r="AK152" s="310"/>
      <c r="AL152" s="251"/>
      <c r="AM152" s="251"/>
      <c r="AN152" s="251"/>
      <c r="AO152" s="310"/>
      <c r="AP152" s="310"/>
    </row>
    <row r="153" spans="16:42" s="244" customFormat="1" x14ac:dyDescent="0.25">
      <c r="P153" s="251"/>
      <c r="Q153" s="251"/>
      <c r="R153" s="251"/>
      <c r="S153" s="251"/>
      <c r="T153" s="251"/>
      <c r="U153" s="251"/>
      <c r="V153" s="251"/>
      <c r="W153" s="251"/>
      <c r="X153" s="251"/>
      <c r="Y153" s="251"/>
      <c r="Z153" s="251"/>
      <c r="AA153" s="251"/>
      <c r="AB153" s="251"/>
      <c r="AC153" s="251"/>
      <c r="AD153" s="251"/>
      <c r="AE153" s="251"/>
      <c r="AF153" s="251"/>
      <c r="AG153" s="251"/>
      <c r="AH153" s="251"/>
      <c r="AI153" s="251"/>
      <c r="AJ153" s="310"/>
      <c r="AK153" s="310"/>
      <c r="AL153" s="251"/>
      <c r="AM153" s="251"/>
      <c r="AN153" s="251"/>
      <c r="AO153" s="310"/>
      <c r="AP153" s="310"/>
    </row>
    <row r="154" spans="16:42" s="244" customFormat="1" x14ac:dyDescent="0.25">
      <c r="P154" s="251"/>
      <c r="Q154" s="251"/>
      <c r="R154" s="251"/>
      <c r="S154" s="251"/>
      <c r="T154" s="251"/>
      <c r="U154" s="251"/>
      <c r="V154" s="251"/>
      <c r="W154" s="251"/>
      <c r="X154" s="251"/>
      <c r="Y154" s="251"/>
      <c r="Z154" s="251"/>
      <c r="AA154" s="251"/>
      <c r="AB154" s="251"/>
      <c r="AC154" s="251"/>
      <c r="AD154" s="251"/>
      <c r="AE154" s="251"/>
      <c r="AF154" s="251"/>
      <c r="AG154" s="251"/>
      <c r="AH154" s="251"/>
      <c r="AI154" s="251"/>
      <c r="AJ154" s="310"/>
      <c r="AK154" s="310"/>
      <c r="AL154" s="251"/>
      <c r="AM154" s="251"/>
      <c r="AN154" s="251"/>
      <c r="AO154" s="310"/>
      <c r="AP154" s="310"/>
    </row>
    <row r="155" spans="16:42" s="244" customFormat="1" x14ac:dyDescent="0.25">
      <c r="P155" s="251"/>
      <c r="Q155" s="251"/>
      <c r="R155" s="251"/>
      <c r="S155" s="251"/>
      <c r="T155" s="251"/>
      <c r="U155" s="251"/>
      <c r="V155" s="251"/>
      <c r="W155" s="251"/>
      <c r="X155" s="251"/>
      <c r="Y155" s="251"/>
      <c r="Z155" s="251"/>
      <c r="AA155" s="251"/>
      <c r="AB155" s="251"/>
      <c r="AC155" s="251"/>
      <c r="AD155" s="251"/>
      <c r="AE155" s="251"/>
      <c r="AF155" s="251"/>
      <c r="AG155" s="251"/>
      <c r="AH155" s="251"/>
      <c r="AI155" s="251"/>
      <c r="AJ155" s="310"/>
      <c r="AK155" s="310"/>
      <c r="AL155" s="251"/>
      <c r="AM155" s="251"/>
      <c r="AN155" s="251"/>
      <c r="AO155" s="310"/>
      <c r="AP155" s="310"/>
    </row>
    <row r="156" spans="16:42" s="244" customFormat="1" x14ac:dyDescent="0.25">
      <c r="P156" s="251"/>
      <c r="Q156" s="251"/>
      <c r="R156" s="251"/>
      <c r="S156" s="251"/>
      <c r="T156" s="251"/>
      <c r="U156" s="251"/>
      <c r="V156" s="251"/>
      <c r="W156" s="251"/>
      <c r="X156" s="251"/>
      <c r="Y156" s="251"/>
      <c r="Z156" s="251"/>
      <c r="AA156" s="251"/>
      <c r="AB156" s="251"/>
      <c r="AC156" s="251"/>
      <c r="AD156" s="251"/>
      <c r="AE156" s="251"/>
      <c r="AF156" s="251"/>
      <c r="AG156" s="251"/>
      <c r="AH156" s="251"/>
      <c r="AI156" s="251"/>
      <c r="AJ156" s="310"/>
      <c r="AK156" s="310"/>
      <c r="AL156" s="251"/>
      <c r="AM156" s="251"/>
      <c r="AN156" s="251"/>
      <c r="AO156" s="310"/>
      <c r="AP156" s="310"/>
    </row>
    <row r="157" spans="16:42" s="244" customFormat="1" x14ac:dyDescent="0.25">
      <c r="P157" s="251"/>
      <c r="Q157" s="251"/>
      <c r="R157" s="251"/>
      <c r="S157" s="251"/>
      <c r="T157" s="251"/>
      <c r="U157" s="251"/>
      <c r="V157" s="251"/>
      <c r="W157" s="251"/>
      <c r="X157" s="251"/>
      <c r="Y157" s="251"/>
      <c r="Z157" s="251"/>
      <c r="AA157" s="251"/>
      <c r="AB157" s="251"/>
      <c r="AC157" s="251"/>
      <c r="AD157" s="251"/>
      <c r="AE157" s="251"/>
      <c r="AF157" s="251"/>
      <c r="AG157" s="251"/>
      <c r="AH157" s="251"/>
      <c r="AI157" s="251"/>
      <c r="AJ157" s="310"/>
      <c r="AK157" s="310"/>
      <c r="AL157" s="251"/>
      <c r="AM157" s="251"/>
      <c r="AN157" s="251"/>
      <c r="AO157" s="310"/>
      <c r="AP157" s="310"/>
    </row>
    <row r="158" spans="16:42" s="244" customFormat="1" x14ac:dyDescent="0.25">
      <c r="P158" s="251"/>
      <c r="Q158" s="251"/>
      <c r="R158" s="251"/>
      <c r="S158" s="251"/>
      <c r="T158" s="251"/>
      <c r="U158" s="251"/>
      <c r="V158" s="251"/>
      <c r="W158" s="251"/>
      <c r="X158" s="251"/>
      <c r="Y158" s="251"/>
      <c r="Z158" s="251"/>
      <c r="AA158" s="251"/>
      <c r="AB158" s="251"/>
      <c r="AC158" s="251"/>
      <c r="AD158" s="251"/>
      <c r="AE158" s="251"/>
      <c r="AF158" s="251"/>
      <c r="AG158" s="251"/>
      <c r="AH158" s="251"/>
      <c r="AI158" s="251"/>
      <c r="AJ158" s="310"/>
      <c r="AK158" s="310"/>
      <c r="AL158" s="251"/>
      <c r="AM158" s="251"/>
      <c r="AN158" s="251"/>
      <c r="AO158" s="310"/>
      <c r="AP158" s="310"/>
    </row>
    <row r="159" spans="16:42" s="244" customFormat="1" x14ac:dyDescent="0.25">
      <c r="P159" s="251"/>
      <c r="Q159" s="251"/>
      <c r="R159" s="251"/>
      <c r="S159" s="251"/>
      <c r="T159" s="251"/>
      <c r="U159" s="251"/>
      <c r="V159" s="251"/>
      <c r="W159" s="251"/>
      <c r="X159" s="251"/>
      <c r="Y159" s="251"/>
      <c r="Z159" s="251"/>
      <c r="AA159" s="251"/>
      <c r="AB159" s="251"/>
      <c r="AC159" s="251"/>
      <c r="AD159" s="251"/>
      <c r="AE159" s="251"/>
      <c r="AF159" s="251"/>
      <c r="AG159" s="251"/>
      <c r="AH159" s="251"/>
      <c r="AI159" s="251"/>
      <c r="AJ159" s="310"/>
      <c r="AK159" s="310"/>
      <c r="AL159" s="251"/>
      <c r="AM159" s="251"/>
      <c r="AN159" s="251"/>
      <c r="AO159" s="310"/>
      <c r="AP159" s="310"/>
    </row>
    <row r="160" spans="16:42" s="244" customFormat="1" x14ac:dyDescent="0.25">
      <c r="P160" s="251"/>
      <c r="Q160" s="251"/>
      <c r="R160" s="251"/>
      <c r="S160" s="251"/>
      <c r="T160" s="251"/>
      <c r="U160" s="251"/>
      <c r="V160" s="251"/>
      <c r="W160" s="251"/>
      <c r="X160" s="251"/>
      <c r="Y160" s="251"/>
      <c r="Z160" s="251"/>
      <c r="AA160" s="251"/>
      <c r="AB160" s="251"/>
      <c r="AC160" s="251"/>
      <c r="AD160" s="251"/>
      <c r="AE160" s="251"/>
      <c r="AF160" s="251"/>
      <c r="AG160" s="251"/>
      <c r="AH160" s="251"/>
      <c r="AI160" s="251"/>
      <c r="AJ160" s="310"/>
      <c r="AK160" s="310"/>
      <c r="AL160" s="251"/>
      <c r="AM160" s="251"/>
      <c r="AN160" s="251"/>
      <c r="AO160" s="310"/>
      <c r="AP160" s="310"/>
    </row>
    <row r="161" spans="16:42" s="244" customFormat="1" x14ac:dyDescent="0.25">
      <c r="P161" s="251"/>
      <c r="Q161" s="251"/>
      <c r="R161" s="251"/>
      <c r="S161" s="251"/>
      <c r="T161" s="251"/>
      <c r="U161" s="251"/>
      <c r="V161" s="251"/>
      <c r="W161" s="251"/>
      <c r="X161" s="251"/>
      <c r="Y161" s="251"/>
      <c r="Z161" s="251"/>
      <c r="AA161" s="251"/>
      <c r="AB161" s="251"/>
      <c r="AC161" s="251"/>
      <c r="AD161" s="251"/>
      <c r="AE161" s="251"/>
      <c r="AF161" s="251"/>
      <c r="AG161" s="251"/>
      <c r="AH161" s="251"/>
      <c r="AI161" s="251"/>
      <c r="AJ161" s="310"/>
      <c r="AK161" s="310"/>
      <c r="AL161" s="251"/>
      <c r="AM161" s="251"/>
      <c r="AN161" s="251"/>
      <c r="AO161" s="310"/>
      <c r="AP161" s="310"/>
    </row>
    <row r="162" spans="16:42" s="244" customFormat="1" x14ac:dyDescent="0.25">
      <c r="P162" s="251"/>
      <c r="Q162" s="251"/>
      <c r="R162" s="251"/>
      <c r="S162" s="251"/>
      <c r="T162" s="251"/>
      <c r="U162" s="251"/>
      <c r="V162" s="251"/>
      <c r="W162" s="251"/>
      <c r="X162" s="251"/>
      <c r="Y162" s="251"/>
      <c r="Z162" s="251"/>
      <c r="AA162" s="251"/>
      <c r="AB162" s="251"/>
      <c r="AC162" s="251"/>
      <c r="AD162" s="251"/>
      <c r="AE162" s="251"/>
      <c r="AF162" s="251"/>
      <c r="AG162" s="251"/>
      <c r="AH162" s="251"/>
      <c r="AI162" s="251"/>
      <c r="AJ162" s="310"/>
      <c r="AK162" s="310"/>
      <c r="AL162" s="251"/>
      <c r="AM162" s="251"/>
      <c r="AN162" s="251"/>
      <c r="AO162" s="310"/>
      <c r="AP162" s="310"/>
    </row>
    <row r="163" spans="16:42" s="244" customFormat="1" x14ac:dyDescent="0.25">
      <c r="P163" s="251"/>
      <c r="Q163" s="251"/>
      <c r="R163" s="251"/>
      <c r="S163" s="251"/>
      <c r="T163" s="251"/>
      <c r="U163" s="251"/>
      <c r="V163" s="251"/>
      <c r="W163" s="251"/>
      <c r="X163" s="251"/>
      <c r="Y163" s="251"/>
      <c r="Z163" s="251"/>
      <c r="AA163" s="251"/>
      <c r="AB163" s="251"/>
      <c r="AC163" s="251"/>
      <c r="AD163" s="251"/>
      <c r="AE163" s="251"/>
      <c r="AF163" s="251"/>
      <c r="AG163" s="251"/>
      <c r="AH163" s="251"/>
      <c r="AI163" s="251"/>
      <c r="AJ163" s="310"/>
      <c r="AK163" s="310"/>
      <c r="AL163" s="251"/>
      <c r="AM163" s="251"/>
      <c r="AN163" s="251"/>
      <c r="AO163" s="310"/>
      <c r="AP163" s="310"/>
    </row>
    <row r="164" spans="16:42" s="244" customFormat="1" x14ac:dyDescent="0.25">
      <c r="P164" s="251"/>
      <c r="Q164" s="251"/>
      <c r="R164" s="251"/>
      <c r="S164" s="251"/>
      <c r="T164" s="251"/>
      <c r="U164" s="251"/>
      <c r="V164" s="251"/>
      <c r="W164" s="251"/>
      <c r="X164" s="251"/>
      <c r="Y164" s="251"/>
      <c r="Z164" s="251"/>
      <c r="AA164" s="251"/>
      <c r="AB164" s="251"/>
      <c r="AC164" s="251"/>
      <c r="AD164" s="251"/>
      <c r="AE164" s="251"/>
      <c r="AF164" s="251"/>
      <c r="AG164" s="251"/>
      <c r="AH164" s="251"/>
      <c r="AI164" s="251"/>
      <c r="AJ164" s="310"/>
      <c r="AK164" s="310"/>
      <c r="AL164" s="251"/>
      <c r="AM164" s="251"/>
      <c r="AN164" s="251"/>
      <c r="AO164" s="310"/>
      <c r="AP164" s="310"/>
    </row>
    <row r="165" spans="16:42" s="244" customFormat="1" x14ac:dyDescent="0.25">
      <c r="P165" s="251"/>
      <c r="Q165" s="251"/>
      <c r="R165" s="251"/>
      <c r="S165" s="251"/>
      <c r="T165" s="251"/>
      <c r="U165" s="251"/>
      <c r="V165" s="251"/>
      <c r="W165" s="251"/>
      <c r="X165" s="251"/>
      <c r="Y165" s="251"/>
      <c r="Z165" s="251"/>
      <c r="AA165" s="251"/>
      <c r="AB165" s="251"/>
      <c r="AC165" s="251"/>
      <c r="AD165" s="251"/>
      <c r="AE165" s="251"/>
      <c r="AF165" s="251"/>
      <c r="AG165" s="251"/>
      <c r="AH165" s="251"/>
      <c r="AI165" s="251"/>
      <c r="AJ165" s="310"/>
      <c r="AK165" s="310"/>
      <c r="AL165" s="251"/>
      <c r="AM165" s="251"/>
      <c r="AN165" s="251"/>
      <c r="AO165" s="310"/>
      <c r="AP165" s="310"/>
    </row>
    <row r="166" spans="16:42" s="244" customFormat="1" x14ac:dyDescent="0.25">
      <c r="P166" s="251"/>
      <c r="Q166" s="251"/>
      <c r="R166" s="251"/>
      <c r="S166" s="251"/>
      <c r="T166" s="251"/>
      <c r="U166" s="251"/>
      <c r="V166" s="251"/>
      <c r="W166" s="251"/>
      <c r="X166" s="251"/>
      <c r="Y166" s="251"/>
      <c r="Z166" s="251"/>
      <c r="AA166" s="251"/>
      <c r="AB166" s="251"/>
      <c r="AC166" s="251"/>
      <c r="AD166" s="251"/>
      <c r="AE166" s="251"/>
      <c r="AF166" s="251"/>
      <c r="AG166" s="251"/>
      <c r="AH166" s="251"/>
      <c r="AI166" s="251"/>
      <c r="AJ166" s="310"/>
      <c r="AK166" s="310"/>
      <c r="AL166" s="251"/>
      <c r="AM166" s="251"/>
      <c r="AN166" s="251"/>
      <c r="AO166" s="310"/>
      <c r="AP166" s="310"/>
    </row>
    <row r="167" spans="16:42" s="244" customFormat="1" x14ac:dyDescent="0.25">
      <c r="P167" s="251"/>
      <c r="Q167" s="251"/>
      <c r="R167" s="251"/>
      <c r="S167" s="251"/>
      <c r="T167" s="251"/>
      <c r="U167" s="251"/>
      <c r="V167" s="251"/>
      <c r="W167" s="251"/>
      <c r="X167" s="251"/>
      <c r="Y167" s="251"/>
      <c r="Z167" s="251"/>
      <c r="AA167" s="251"/>
      <c r="AB167" s="251"/>
      <c r="AC167" s="251"/>
      <c r="AD167" s="251"/>
      <c r="AE167" s="251"/>
      <c r="AF167" s="251"/>
      <c r="AG167" s="251"/>
      <c r="AH167" s="251"/>
      <c r="AI167" s="251"/>
      <c r="AJ167" s="310"/>
      <c r="AK167" s="310"/>
      <c r="AL167" s="251"/>
      <c r="AM167" s="251"/>
      <c r="AN167" s="251"/>
      <c r="AO167" s="310"/>
      <c r="AP167" s="310"/>
    </row>
    <row r="168" spans="16:42" s="244" customFormat="1" x14ac:dyDescent="0.25">
      <c r="P168" s="251"/>
      <c r="Q168" s="251"/>
      <c r="R168" s="251"/>
      <c r="S168" s="251"/>
      <c r="T168" s="251"/>
      <c r="U168" s="251"/>
      <c r="V168" s="251"/>
      <c r="W168" s="251"/>
      <c r="X168" s="251"/>
      <c r="Y168" s="251"/>
      <c r="Z168" s="251"/>
      <c r="AA168" s="251"/>
      <c r="AB168" s="251"/>
      <c r="AC168" s="251"/>
      <c r="AD168" s="251"/>
      <c r="AE168" s="251"/>
      <c r="AF168" s="251"/>
      <c r="AG168" s="251"/>
      <c r="AH168" s="251"/>
      <c r="AI168" s="251"/>
      <c r="AJ168" s="310"/>
      <c r="AK168" s="310"/>
      <c r="AL168" s="251"/>
      <c r="AM168" s="251"/>
      <c r="AN168" s="251"/>
      <c r="AO168" s="310"/>
      <c r="AP168" s="310"/>
    </row>
    <row r="169" spans="16:42" s="244" customFormat="1" x14ac:dyDescent="0.25">
      <c r="P169" s="251"/>
      <c r="Q169" s="251"/>
      <c r="R169" s="251"/>
      <c r="S169" s="251"/>
      <c r="T169" s="251"/>
      <c r="U169" s="251"/>
      <c r="V169" s="251"/>
      <c r="W169" s="251"/>
      <c r="X169" s="251"/>
      <c r="Y169" s="251"/>
      <c r="Z169" s="251"/>
      <c r="AA169" s="251"/>
      <c r="AB169" s="251"/>
      <c r="AC169" s="251"/>
      <c r="AD169" s="251"/>
      <c r="AE169" s="251"/>
      <c r="AF169" s="251"/>
      <c r="AG169" s="251"/>
      <c r="AH169" s="251"/>
      <c r="AI169" s="251"/>
      <c r="AJ169" s="310"/>
      <c r="AK169" s="310"/>
      <c r="AL169" s="251"/>
      <c r="AM169" s="251"/>
      <c r="AN169" s="251"/>
      <c r="AO169" s="310"/>
      <c r="AP169" s="310"/>
    </row>
    <row r="170" spans="16:42" s="244" customFormat="1" x14ac:dyDescent="0.25">
      <c r="P170" s="251"/>
      <c r="Q170" s="251"/>
      <c r="R170" s="251"/>
      <c r="S170" s="251"/>
      <c r="T170" s="251"/>
      <c r="U170" s="251"/>
      <c r="V170" s="251"/>
      <c r="W170" s="251"/>
      <c r="X170" s="251"/>
      <c r="Y170" s="251"/>
      <c r="Z170" s="251"/>
      <c r="AA170" s="251"/>
      <c r="AB170" s="251"/>
      <c r="AC170" s="251"/>
      <c r="AD170" s="251"/>
      <c r="AE170" s="251"/>
      <c r="AF170" s="251"/>
      <c r="AG170" s="251"/>
      <c r="AH170" s="251"/>
      <c r="AI170" s="251"/>
      <c r="AJ170" s="310"/>
      <c r="AK170" s="310"/>
      <c r="AL170" s="251"/>
      <c r="AM170" s="251"/>
      <c r="AN170" s="251"/>
      <c r="AO170" s="310"/>
      <c r="AP170" s="310"/>
    </row>
    <row r="171" spans="16:42" s="244" customFormat="1" x14ac:dyDescent="0.25">
      <c r="P171" s="251"/>
      <c r="Q171" s="251"/>
      <c r="R171" s="251"/>
      <c r="S171" s="251"/>
      <c r="T171" s="251"/>
      <c r="U171" s="251"/>
      <c r="V171" s="251"/>
      <c r="W171" s="251"/>
      <c r="X171" s="251"/>
      <c r="Y171" s="251"/>
      <c r="Z171" s="251"/>
      <c r="AA171" s="251"/>
      <c r="AB171" s="251"/>
      <c r="AC171" s="251"/>
      <c r="AD171" s="251"/>
      <c r="AE171" s="251"/>
      <c r="AF171" s="251"/>
      <c r="AG171" s="251"/>
      <c r="AH171" s="251"/>
      <c r="AI171" s="251"/>
      <c r="AJ171" s="310"/>
      <c r="AK171" s="310"/>
      <c r="AL171" s="251"/>
      <c r="AM171" s="251"/>
      <c r="AN171" s="251"/>
      <c r="AO171" s="310"/>
      <c r="AP171" s="310"/>
    </row>
    <row r="172" spans="16:42" s="244" customFormat="1" x14ac:dyDescent="0.25">
      <c r="P172" s="251"/>
      <c r="Q172" s="251"/>
      <c r="R172" s="251"/>
      <c r="S172" s="251"/>
      <c r="T172" s="251"/>
      <c r="U172" s="251"/>
      <c r="V172" s="251"/>
      <c r="W172" s="251"/>
      <c r="X172" s="251"/>
      <c r="Y172" s="251"/>
      <c r="Z172" s="251"/>
      <c r="AA172" s="251"/>
      <c r="AB172" s="251"/>
      <c r="AC172" s="251"/>
      <c r="AD172" s="251"/>
      <c r="AE172" s="251"/>
      <c r="AF172" s="251"/>
      <c r="AG172" s="251"/>
      <c r="AH172" s="251"/>
      <c r="AI172" s="251"/>
      <c r="AJ172" s="310"/>
      <c r="AK172" s="310"/>
      <c r="AL172" s="251"/>
      <c r="AM172" s="251"/>
      <c r="AN172" s="251"/>
      <c r="AO172" s="310"/>
      <c r="AP172" s="310"/>
    </row>
    <row r="173" spans="16:42" s="244" customFormat="1" x14ac:dyDescent="0.25">
      <c r="P173" s="251"/>
      <c r="Q173" s="251"/>
      <c r="R173" s="251"/>
      <c r="S173" s="251"/>
      <c r="T173" s="251"/>
      <c r="U173" s="251"/>
      <c r="V173" s="251"/>
      <c r="W173" s="251"/>
      <c r="X173" s="251"/>
      <c r="Y173" s="251"/>
      <c r="Z173" s="251"/>
      <c r="AA173" s="251"/>
      <c r="AB173" s="251"/>
      <c r="AC173" s="251"/>
      <c r="AD173" s="251"/>
      <c r="AE173" s="251"/>
      <c r="AF173" s="251"/>
      <c r="AG173" s="251"/>
      <c r="AH173" s="251"/>
      <c r="AI173" s="251"/>
      <c r="AJ173" s="310"/>
      <c r="AK173" s="310"/>
      <c r="AL173" s="251"/>
      <c r="AM173" s="251"/>
      <c r="AN173" s="251"/>
      <c r="AO173" s="310"/>
      <c r="AP173" s="310"/>
    </row>
    <row r="174" spans="16:42" s="244" customFormat="1" x14ac:dyDescent="0.25">
      <c r="P174" s="251"/>
      <c r="Q174" s="251"/>
      <c r="R174" s="251"/>
      <c r="S174" s="251"/>
      <c r="T174" s="251"/>
      <c r="U174" s="251"/>
      <c r="V174" s="251"/>
      <c r="W174" s="251"/>
      <c r="X174" s="251"/>
      <c r="Y174" s="251"/>
      <c r="Z174" s="251"/>
      <c r="AA174" s="251"/>
      <c r="AB174" s="251"/>
      <c r="AC174" s="251"/>
      <c r="AD174" s="251"/>
      <c r="AE174" s="251"/>
      <c r="AF174" s="251"/>
      <c r="AG174" s="251"/>
      <c r="AH174" s="251"/>
      <c r="AI174" s="251"/>
      <c r="AJ174" s="310"/>
      <c r="AK174" s="310"/>
      <c r="AL174" s="251"/>
      <c r="AM174" s="251"/>
      <c r="AN174" s="251"/>
      <c r="AO174" s="310"/>
      <c r="AP174" s="310"/>
    </row>
    <row r="175" spans="16:42" s="244" customFormat="1" x14ac:dyDescent="0.25">
      <c r="P175" s="251"/>
      <c r="Q175" s="251"/>
      <c r="R175" s="251"/>
      <c r="S175" s="251"/>
      <c r="T175" s="251"/>
      <c r="U175" s="251"/>
      <c r="V175" s="251"/>
      <c r="W175" s="251"/>
      <c r="X175" s="251"/>
      <c r="Y175" s="251"/>
      <c r="Z175" s="251"/>
      <c r="AA175" s="251"/>
      <c r="AB175" s="251"/>
      <c r="AC175" s="251"/>
      <c r="AD175" s="251"/>
      <c r="AE175" s="251"/>
      <c r="AF175" s="251"/>
      <c r="AG175" s="251"/>
      <c r="AH175" s="251"/>
      <c r="AI175" s="251"/>
      <c r="AJ175" s="310"/>
      <c r="AK175" s="310"/>
      <c r="AL175" s="251"/>
      <c r="AM175" s="251"/>
      <c r="AN175" s="251"/>
      <c r="AO175" s="310"/>
      <c r="AP175" s="310"/>
    </row>
    <row r="176" spans="16:42" s="244" customFormat="1" x14ac:dyDescent="0.25">
      <c r="P176" s="251"/>
      <c r="Q176" s="251"/>
      <c r="R176" s="251"/>
      <c r="S176" s="251"/>
      <c r="T176" s="251"/>
      <c r="U176" s="251"/>
      <c r="V176" s="251"/>
      <c r="W176" s="251"/>
      <c r="X176" s="251"/>
      <c r="Y176" s="251"/>
      <c r="Z176" s="251"/>
      <c r="AA176" s="251"/>
      <c r="AB176" s="251"/>
      <c r="AC176" s="251"/>
      <c r="AD176" s="251"/>
      <c r="AE176" s="251"/>
      <c r="AF176" s="251"/>
      <c r="AG176" s="251"/>
      <c r="AH176" s="251"/>
      <c r="AI176" s="251"/>
      <c r="AJ176" s="310"/>
      <c r="AK176" s="310"/>
      <c r="AL176" s="251"/>
      <c r="AM176" s="251"/>
      <c r="AN176" s="251"/>
      <c r="AO176" s="310"/>
      <c r="AP176" s="310"/>
    </row>
    <row r="177" spans="16:42" s="244" customFormat="1" x14ac:dyDescent="0.25">
      <c r="P177" s="251"/>
      <c r="Q177" s="251"/>
      <c r="R177" s="251"/>
      <c r="S177" s="251"/>
      <c r="T177" s="251"/>
      <c r="U177" s="251"/>
      <c r="V177" s="251"/>
      <c r="W177" s="251"/>
      <c r="X177" s="251"/>
      <c r="Y177" s="251"/>
      <c r="Z177" s="251"/>
      <c r="AA177" s="251"/>
      <c r="AB177" s="251"/>
      <c r="AC177" s="251"/>
      <c r="AD177" s="251"/>
      <c r="AE177" s="251"/>
      <c r="AF177" s="251"/>
      <c r="AG177" s="251"/>
      <c r="AH177" s="251"/>
      <c r="AI177" s="251"/>
      <c r="AJ177" s="310"/>
      <c r="AK177" s="310"/>
      <c r="AL177" s="251"/>
      <c r="AM177" s="251"/>
      <c r="AN177" s="251"/>
      <c r="AO177" s="310"/>
      <c r="AP177" s="310"/>
    </row>
    <row r="178" spans="16:42" s="244" customFormat="1" x14ac:dyDescent="0.25">
      <c r="P178" s="251"/>
      <c r="Q178" s="251"/>
      <c r="R178" s="251"/>
      <c r="S178" s="251"/>
      <c r="T178" s="251"/>
      <c r="U178" s="251"/>
      <c r="V178" s="251"/>
      <c r="W178" s="251"/>
      <c r="X178" s="251"/>
      <c r="Y178" s="251"/>
      <c r="Z178" s="251"/>
      <c r="AA178" s="251"/>
      <c r="AB178" s="251"/>
      <c r="AC178" s="251"/>
      <c r="AD178" s="251"/>
      <c r="AE178" s="251"/>
      <c r="AF178" s="251"/>
      <c r="AG178" s="251"/>
      <c r="AH178" s="251"/>
      <c r="AI178" s="251"/>
      <c r="AJ178" s="310"/>
      <c r="AK178" s="310"/>
      <c r="AL178" s="251"/>
      <c r="AM178" s="251"/>
      <c r="AN178" s="251"/>
      <c r="AO178" s="310"/>
      <c r="AP178" s="310"/>
    </row>
    <row r="179" spans="16:42" s="244" customFormat="1" x14ac:dyDescent="0.25">
      <c r="P179" s="251"/>
      <c r="Q179" s="251"/>
      <c r="R179" s="251"/>
      <c r="S179" s="251"/>
      <c r="T179" s="251"/>
      <c r="U179" s="251"/>
      <c r="V179" s="251"/>
      <c r="W179" s="251"/>
      <c r="X179" s="251"/>
      <c r="Y179" s="251"/>
      <c r="Z179" s="251"/>
      <c r="AA179" s="251"/>
      <c r="AB179" s="251"/>
      <c r="AC179" s="251"/>
      <c r="AD179" s="251"/>
      <c r="AE179" s="251"/>
      <c r="AF179" s="251"/>
      <c r="AG179" s="251"/>
      <c r="AH179" s="251"/>
      <c r="AI179" s="251"/>
      <c r="AJ179" s="310"/>
      <c r="AK179" s="310"/>
      <c r="AL179" s="251"/>
      <c r="AM179" s="251"/>
      <c r="AN179" s="251"/>
      <c r="AO179" s="310"/>
      <c r="AP179" s="310"/>
    </row>
    <row r="180" spans="16:42" s="244" customFormat="1" x14ac:dyDescent="0.25">
      <c r="P180" s="251"/>
      <c r="Q180" s="251"/>
      <c r="R180" s="251"/>
      <c r="S180" s="251"/>
      <c r="T180" s="251"/>
      <c r="U180" s="251"/>
      <c r="V180" s="251"/>
      <c r="W180" s="251"/>
      <c r="X180" s="251"/>
      <c r="Y180" s="251"/>
      <c r="Z180" s="251"/>
      <c r="AA180" s="251"/>
      <c r="AB180" s="251"/>
      <c r="AC180" s="251"/>
      <c r="AD180" s="251"/>
      <c r="AE180" s="251"/>
      <c r="AF180" s="251"/>
      <c r="AG180" s="251"/>
      <c r="AH180" s="251"/>
      <c r="AI180" s="251"/>
      <c r="AJ180" s="310"/>
      <c r="AK180" s="310"/>
      <c r="AL180" s="251"/>
      <c r="AM180" s="251"/>
      <c r="AN180" s="251"/>
      <c r="AO180" s="310"/>
      <c r="AP180" s="310"/>
    </row>
    <row r="181" spans="16:42" s="244" customFormat="1" x14ac:dyDescent="0.25">
      <c r="P181" s="251"/>
      <c r="Q181" s="251"/>
      <c r="R181" s="251"/>
      <c r="S181" s="251"/>
      <c r="T181" s="251"/>
      <c r="U181" s="251"/>
      <c r="V181" s="251"/>
      <c r="W181" s="251"/>
      <c r="X181" s="251"/>
      <c r="Y181" s="251"/>
      <c r="Z181" s="251"/>
      <c r="AA181" s="251"/>
      <c r="AB181" s="251"/>
      <c r="AC181" s="251"/>
      <c r="AD181" s="251"/>
      <c r="AE181" s="251"/>
      <c r="AF181" s="251"/>
      <c r="AG181" s="251"/>
      <c r="AH181" s="251"/>
      <c r="AI181" s="251"/>
      <c r="AJ181" s="310"/>
      <c r="AK181" s="310"/>
      <c r="AL181" s="251"/>
      <c r="AM181" s="251"/>
      <c r="AN181" s="251"/>
      <c r="AO181" s="310"/>
      <c r="AP181" s="310"/>
    </row>
    <row r="182" spans="16:42" s="244" customFormat="1" x14ac:dyDescent="0.25">
      <c r="P182" s="251"/>
      <c r="Q182" s="251"/>
      <c r="R182" s="251"/>
      <c r="S182" s="251"/>
      <c r="T182" s="251"/>
      <c r="U182" s="251"/>
      <c r="V182" s="251"/>
      <c r="W182" s="251"/>
      <c r="X182" s="251"/>
      <c r="Y182" s="251"/>
      <c r="Z182" s="251"/>
      <c r="AA182" s="251"/>
      <c r="AB182" s="251"/>
      <c r="AC182" s="251"/>
      <c r="AD182" s="251"/>
      <c r="AE182" s="251"/>
      <c r="AF182" s="251"/>
      <c r="AG182" s="251"/>
      <c r="AH182" s="251"/>
      <c r="AI182" s="251"/>
      <c r="AJ182" s="310"/>
      <c r="AK182" s="310"/>
      <c r="AL182" s="251"/>
      <c r="AM182" s="251"/>
      <c r="AN182" s="251"/>
      <c r="AO182" s="310"/>
      <c r="AP182" s="310"/>
    </row>
    <row r="183" spans="16:42" s="244" customFormat="1" x14ac:dyDescent="0.25">
      <c r="P183" s="251"/>
      <c r="Q183" s="251"/>
      <c r="R183" s="251"/>
      <c r="S183" s="251"/>
      <c r="T183" s="251"/>
      <c r="U183" s="251"/>
      <c r="V183" s="251"/>
      <c r="W183" s="251"/>
      <c r="X183" s="251"/>
      <c r="Y183" s="251"/>
      <c r="Z183" s="251"/>
      <c r="AA183" s="251"/>
      <c r="AB183" s="251"/>
      <c r="AC183" s="251"/>
      <c r="AD183" s="251"/>
      <c r="AE183" s="251"/>
      <c r="AF183" s="251"/>
      <c r="AG183" s="251"/>
      <c r="AH183" s="251"/>
      <c r="AI183" s="251"/>
      <c r="AJ183" s="310"/>
      <c r="AK183" s="310"/>
      <c r="AL183" s="251"/>
      <c r="AM183" s="251"/>
      <c r="AN183" s="251"/>
      <c r="AO183" s="310"/>
      <c r="AP183" s="310"/>
    </row>
    <row r="184" spans="16:42" s="244" customFormat="1" x14ac:dyDescent="0.25">
      <c r="P184" s="251"/>
      <c r="Q184" s="251"/>
      <c r="R184" s="251"/>
      <c r="S184" s="251"/>
      <c r="T184" s="251"/>
      <c r="U184" s="251"/>
      <c r="V184" s="251"/>
      <c r="W184" s="251"/>
      <c r="X184" s="251"/>
      <c r="Y184" s="251"/>
      <c r="Z184" s="251"/>
      <c r="AA184" s="251"/>
      <c r="AB184" s="251"/>
      <c r="AC184" s="251"/>
      <c r="AD184" s="251"/>
      <c r="AE184" s="251"/>
      <c r="AF184" s="251"/>
      <c r="AG184" s="251"/>
      <c r="AH184" s="251"/>
      <c r="AI184" s="251"/>
      <c r="AJ184" s="310"/>
      <c r="AK184" s="310"/>
      <c r="AL184" s="251"/>
      <c r="AM184" s="251"/>
      <c r="AN184" s="251"/>
      <c r="AO184" s="310"/>
      <c r="AP184" s="310"/>
    </row>
    <row r="185" spans="16:42" s="244" customFormat="1" x14ac:dyDescent="0.25">
      <c r="P185" s="251"/>
      <c r="Q185" s="251"/>
      <c r="R185" s="251"/>
      <c r="S185" s="251"/>
      <c r="T185" s="251"/>
      <c r="U185" s="251"/>
      <c r="V185" s="251"/>
      <c r="W185" s="251"/>
      <c r="X185" s="251"/>
      <c r="Y185" s="251"/>
      <c r="Z185" s="251"/>
      <c r="AA185" s="251"/>
      <c r="AB185" s="251"/>
      <c r="AC185" s="251"/>
      <c r="AD185" s="251"/>
      <c r="AE185" s="251"/>
      <c r="AF185" s="251"/>
      <c r="AG185" s="251"/>
      <c r="AH185" s="251"/>
      <c r="AI185" s="251"/>
      <c r="AJ185" s="310"/>
      <c r="AK185" s="310"/>
      <c r="AL185" s="251"/>
      <c r="AM185" s="251"/>
      <c r="AN185" s="251"/>
      <c r="AO185" s="310"/>
      <c r="AP185" s="310"/>
    </row>
    <row r="186" spans="16:42" s="244" customFormat="1" x14ac:dyDescent="0.25">
      <c r="P186" s="251"/>
      <c r="Q186" s="251"/>
      <c r="R186" s="251"/>
      <c r="S186" s="251"/>
      <c r="T186" s="251"/>
      <c r="U186" s="251"/>
      <c r="V186" s="251"/>
      <c r="W186" s="251"/>
      <c r="X186" s="251"/>
      <c r="Y186" s="251"/>
      <c r="Z186" s="251"/>
      <c r="AA186" s="251"/>
      <c r="AB186" s="251"/>
      <c r="AC186" s="251"/>
      <c r="AD186" s="251"/>
      <c r="AE186" s="251"/>
      <c r="AF186" s="251"/>
      <c r="AG186" s="251"/>
      <c r="AH186" s="251"/>
      <c r="AI186" s="251"/>
      <c r="AJ186" s="310"/>
      <c r="AK186" s="310"/>
      <c r="AL186" s="251"/>
      <c r="AM186" s="251"/>
      <c r="AN186" s="251"/>
      <c r="AO186" s="310"/>
      <c r="AP186" s="310"/>
    </row>
    <row r="187" spans="16:42" s="244" customFormat="1" x14ac:dyDescent="0.25">
      <c r="P187" s="251"/>
      <c r="Q187" s="251"/>
      <c r="R187" s="251"/>
      <c r="S187" s="251"/>
      <c r="T187" s="251"/>
      <c r="U187" s="251"/>
      <c r="V187" s="251"/>
      <c r="W187" s="251"/>
      <c r="X187" s="251"/>
      <c r="Y187" s="251"/>
      <c r="Z187" s="251"/>
      <c r="AA187" s="251"/>
      <c r="AB187" s="251"/>
      <c r="AC187" s="251"/>
      <c r="AD187" s="251"/>
      <c r="AE187" s="251"/>
      <c r="AF187" s="251"/>
      <c r="AG187" s="251"/>
      <c r="AH187" s="251"/>
      <c r="AI187" s="251"/>
      <c r="AJ187" s="310"/>
      <c r="AK187" s="310"/>
      <c r="AL187" s="251"/>
      <c r="AM187" s="251"/>
      <c r="AN187" s="251"/>
      <c r="AO187" s="310"/>
      <c r="AP187" s="310"/>
    </row>
    <row r="188" spans="16:42" s="244" customFormat="1" x14ac:dyDescent="0.25">
      <c r="P188" s="251"/>
      <c r="Q188" s="251"/>
      <c r="R188" s="251"/>
      <c r="S188" s="251"/>
      <c r="T188" s="251"/>
      <c r="U188" s="251"/>
      <c r="V188" s="251"/>
      <c r="W188" s="251"/>
      <c r="X188" s="251"/>
      <c r="Y188" s="251"/>
      <c r="Z188" s="251"/>
      <c r="AA188" s="251"/>
      <c r="AB188" s="251"/>
      <c r="AC188" s="251"/>
      <c r="AD188" s="251"/>
      <c r="AE188" s="251"/>
      <c r="AF188" s="251"/>
      <c r="AG188" s="251"/>
      <c r="AH188" s="251"/>
      <c r="AI188" s="251"/>
      <c r="AJ188" s="310"/>
      <c r="AK188" s="310"/>
      <c r="AL188" s="251"/>
      <c r="AM188" s="251"/>
      <c r="AN188" s="251"/>
      <c r="AO188" s="310"/>
      <c r="AP188" s="310"/>
    </row>
    <row r="189" spans="16:42" s="244" customFormat="1" x14ac:dyDescent="0.25">
      <c r="P189" s="251"/>
      <c r="Q189" s="251"/>
      <c r="R189" s="251"/>
      <c r="S189" s="251"/>
      <c r="T189" s="251"/>
      <c r="U189" s="251"/>
      <c r="V189" s="251"/>
      <c r="W189" s="251"/>
      <c r="X189" s="251"/>
      <c r="Y189" s="251"/>
      <c r="Z189" s="251"/>
      <c r="AA189" s="251"/>
      <c r="AB189" s="251"/>
      <c r="AC189" s="251"/>
      <c r="AD189" s="251"/>
      <c r="AE189" s="251"/>
      <c r="AF189" s="251"/>
      <c r="AG189" s="251"/>
      <c r="AH189" s="251"/>
      <c r="AI189" s="251"/>
      <c r="AJ189" s="310"/>
      <c r="AK189" s="310"/>
      <c r="AL189" s="251"/>
      <c r="AM189" s="251"/>
      <c r="AN189" s="251"/>
      <c r="AO189" s="310"/>
      <c r="AP189" s="310"/>
    </row>
    <row r="190" spans="16:42" s="244" customFormat="1" x14ac:dyDescent="0.25">
      <c r="P190" s="251"/>
      <c r="Q190" s="251"/>
      <c r="R190" s="251"/>
      <c r="S190" s="251"/>
      <c r="T190" s="251"/>
      <c r="U190" s="251"/>
      <c r="V190" s="251"/>
      <c r="W190" s="251"/>
      <c r="X190" s="251"/>
      <c r="Y190" s="251"/>
      <c r="Z190" s="251"/>
      <c r="AA190" s="251"/>
      <c r="AB190" s="251"/>
      <c r="AC190" s="251"/>
      <c r="AD190" s="251"/>
      <c r="AE190" s="251"/>
      <c r="AF190" s="251"/>
      <c r="AG190" s="251"/>
      <c r="AH190" s="251"/>
      <c r="AI190" s="251"/>
      <c r="AJ190" s="310"/>
      <c r="AK190" s="310"/>
      <c r="AL190" s="251"/>
      <c r="AM190" s="251"/>
      <c r="AN190" s="251"/>
      <c r="AO190" s="310"/>
      <c r="AP190" s="310"/>
    </row>
    <row r="191" spans="16:42" s="244" customFormat="1" x14ac:dyDescent="0.25">
      <c r="P191" s="251"/>
      <c r="Q191" s="251"/>
      <c r="R191" s="251"/>
      <c r="S191" s="251"/>
      <c r="T191" s="251"/>
      <c r="U191" s="251"/>
      <c r="V191" s="251"/>
      <c r="W191" s="251"/>
      <c r="X191" s="251"/>
      <c r="Y191" s="251"/>
      <c r="Z191" s="251"/>
      <c r="AA191" s="251"/>
      <c r="AB191" s="251"/>
      <c r="AC191" s="251"/>
      <c r="AD191" s="251"/>
      <c r="AE191" s="251"/>
      <c r="AF191" s="251"/>
      <c r="AG191" s="251"/>
      <c r="AH191" s="251"/>
      <c r="AI191" s="251"/>
      <c r="AJ191" s="310"/>
      <c r="AK191" s="310"/>
      <c r="AL191" s="251"/>
      <c r="AM191" s="251"/>
      <c r="AN191" s="251"/>
      <c r="AO191" s="310"/>
      <c r="AP191" s="310"/>
    </row>
    <row r="192" spans="16:42" s="244" customFormat="1" x14ac:dyDescent="0.25">
      <c r="P192" s="251"/>
      <c r="Q192" s="251"/>
      <c r="R192" s="251"/>
      <c r="S192" s="251"/>
      <c r="T192" s="251"/>
      <c r="U192" s="251"/>
      <c r="V192" s="251"/>
      <c r="W192" s="251"/>
      <c r="X192" s="251"/>
      <c r="Y192" s="251"/>
      <c r="Z192" s="251"/>
      <c r="AA192" s="251"/>
      <c r="AB192" s="251"/>
      <c r="AC192" s="251"/>
      <c r="AD192" s="251"/>
      <c r="AE192" s="251"/>
      <c r="AF192" s="251"/>
      <c r="AG192" s="251"/>
      <c r="AH192" s="251"/>
      <c r="AI192" s="251"/>
      <c r="AJ192" s="310"/>
      <c r="AK192" s="310"/>
      <c r="AL192" s="251"/>
      <c r="AM192" s="251"/>
      <c r="AN192" s="251"/>
      <c r="AO192" s="310"/>
      <c r="AP192" s="310"/>
    </row>
    <row r="193" spans="16:42" s="244" customFormat="1" x14ac:dyDescent="0.25">
      <c r="P193" s="251"/>
      <c r="Q193" s="251"/>
      <c r="R193" s="251"/>
      <c r="S193" s="251"/>
      <c r="T193" s="251"/>
      <c r="U193" s="251"/>
      <c r="V193" s="251"/>
      <c r="W193" s="251"/>
      <c r="X193" s="251"/>
      <c r="Y193" s="251"/>
      <c r="Z193" s="251"/>
      <c r="AA193" s="251"/>
      <c r="AB193" s="251"/>
      <c r="AC193" s="251"/>
      <c r="AD193" s="251"/>
      <c r="AE193" s="251"/>
      <c r="AF193" s="251"/>
      <c r="AG193" s="251"/>
      <c r="AH193" s="251"/>
      <c r="AI193" s="251"/>
      <c r="AJ193" s="310"/>
      <c r="AK193" s="310"/>
      <c r="AL193" s="251"/>
      <c r="AM193" s="251"/>
      <c r="AN193" s="251"/>
      <c r="AO193" s="310"/>
      <c r="AP193" s="310"/>
    </row>
    <row r="194" spans="16:42" s="244" customFormat="1" x14ac:dyDescent="0.25">
      <c r="P194" s="251"/>
      <c r="Q194" s="251"/>
      <c r="R194" s="251"/>
      <c r="S194" s="251"/>
      <c r="T194" s="251"/>
      <c r="U194" s="251"/>
      <c r="V194" s="251"/>
      <c r="W194" s="251"/>
      <c r="X194" s="251"/>
      <c r="Y194" s="251"/>
      <c r="Z194" s="251"/>
      <c r="AA194" s="251"/>
      <c r="AB194" s="251"/>
      <c r="AC194" s="251"/>
      <c r="AD194" s="251"/>
      <c r="AE194" s="251"/>
      <c r="AF194" s="251"/>
      <c r="AG194" s="251"/>
      <c r="AH194" s="251"/>
      <c r="AI194" s="251"/>
      <c r="AJ194" s="310"/>
      <c r="AK194" s="310"/>
      <c r="AL194" s="251"/>
      <c r="AM194" s="251"/>
      <c r="AN194" s="251"/>
      <c r="AO194" s="310"/>
      <c r="AP194" s="310"/>
    </row>
    <row r="195" spans="16:42" s="244" customFormat="1" x14ac:dyDescent="0.25">
      <c r="P195" s="251"/>
      <c r="Q195" s="251"/>
      <c r="R195" s="251"/>
      <c r="S195" s="251"/>
      <c r="T195" s="251"/>
      <c r="U195" s="251"/>
      <c r="V195" s="251"/>
      <c r="W195" s="251"/>
      <c r="X195" s="251"/>
      <c r="Y195" s="251"/>
      <c r="Z195" s="251"/>
      <c r="AA195" s="251"/>
      <c r="AB195" s="251"/>
      <c r="AC195" s="251"/>
      <c r="AD195" s="251"/>
      <c r="AE195" s="251"/>
      <c r="AF195" s="251"/>
      <c r="AG195" s="251"/>
      <c r="AH195" s="251"/>
      <c r="AI195" s="251"/>
      <c r="AJ195" s="310"/>
      <c r="AK195" s="310"/>
      <c r="AL195" s="251"/>
      <c r="AM195" s="251"/>
      <c r="AN195" s="251"/>
      <c r="AO195" s="310"/>
      <c r="AP195" s="310"/>
    </row>
    <row r="196" spans="16:42" s="244" customFormat="1" x14ac:dyDescent="0.25">
      <c r="P196" s="251"/>
      <c r="Q196" s="251"/>
      <c r="R196" s="251"/>
      <c r="S196" s="251"/>
      <c r="T196" s="251"/>
      <c r="U196" s="251"/>
      <c r="V196" s="251"/>
      <c r="W196" s="251"/>
      <c r="X196" s="251"/>
      <c r="Y196" s="251"/>
      <c r="Z196" s="251"/>
      <c r="AA196" s="251"/>
      <c r="AB196" s="251"/>
      <c r="AC196" s="251"/>
      <c r="AD196" s="251"/>
      <c r="AE196" s="251"/>
      <c r="AF196" s="251"/>
      <c r="AG196" s="251"/>
      <c r="AH196" s="251"/>
      <c r="AI196" s="251"/>
      <c r="AJ196" s="310"/>
      <c r="AK196" s="310"/>
      <c r="AL196" s="251"/>
      <c r="AM196" s="251"/>
      <c r="AN196" s="251"/>
      <c r="AO196" s="310"/>
      <c r="AP196" s="310"/>
    </row>
    <row r="197" spans="16:42" s="244" customFormat="1" x14ac:dyDescent="0.25">
      <c r="P197" s="251"/>
      <c r="Q197" s="251"/>
      <c r="R197" s="251"/>
      <c r="S197" s="251"/>
      <c r="T197" s="251"/>
      <c r="U197" s="251"/>
      <c r="V197" s="251"/>
      <c r="W197" s="251"/>
      <c r="X197" s="251"/>
      <c r="Y197" s="251"/>
      <c r="Z197" s="251"/>
      <c r="AA197" s="251"/>
      <c r="AB197" s="251"/>
      <c r="AC197" s="251"/>
      <c r="AD197" s="251"/>
      <c r="AE197" s="251"/>
      <c r="AF197" s="251"/>
      <c r="AG197" s="251"/>
      <c r="AH197" s="251"/>
      <c r="AI197" s="251"/>
      <c r="AJ197" s="310"/>
      <c r="AK197" s="310"/>
      <c r="AL197" s="251"/>
      <c r="AM197" s="251"/>
      <c r="AN197" s="251"/>
      <c r="AO197" s="310"/>
      <c r="AP197" s="310"/>
    </row>
    <row r="198" spans="16:42" s="244" customFormat="1" x14ac:dyDescent="0.25">
      <c r="P198" s="251"/>
      <c r="Q198" s="251"/>
      <c r="R198" s="251"/>
      <c r="S198" s="251"/>
      <c r="T198" s="251"/>
      <c r="U198" s="251"/>
      <c r="V198" s="251"/>
      <c r="W198" s="251"/>
      <c r="X198" s="251"/>
      <c r="Y198" s="251"/>
      <c r="Z198" s="251"/>
      <c r="AA198" s="251"/>
      <c r="AB198" s="251"/>
      <c r="AC198" s="251"/>
      <c r="AD198" s="251"/>
      <c r="AE198" s="251"/>
      <c r="AF198" s="251"/>
      <c r="AG198" s="251"/>
      <c r="AH198" s="251"/>
      <c r="AI198" s="251"/>
      <c r="AJ198" s="310"/>
      <c r="AK198" s="310"/>
      <c r="AL198" s="251"/>
      <c r="AM198" s="251"/>
      <c r="AN198" s="251"/>
      <c r="AO198" s="310"/>
      <c r="AP198" s="310"/>
    </row>
    <row r="199" spans="16:42" s="244" customFormat="1" x14ac:dyDescent="0.25">
      <c r="P199" s="251"/>
      <c r="Q199" s="251"/>
      <c r="R199" s="251"/>
      <c r="S199" s="251"/>
      <c r="T199" s="251"/>
      <c r="U199" s="251"/>
      <c r="V199" s="251"/>
      <c r="W199" s="251"/>
      <c r="X199" s="251"/>
      <c r="Y199" s="251"/>
      <c r="Z199" s="251"/>
      <c r="AA199" s="251"/>
      <c r="AB199" s="251"/>
      <c r="AC199" s="251"/>
      <c r="AD199" s="251"/>
      <c r="AE199" s="251"/>
      <c r="AF199" s="251"/>
      <c r="AG199" s="251"/>
      <c r="AH199" s="251"/>
      <c r="AI199" s="251"/>
      <c r="AJ199" s="310"/>
      <c r="AK199" s="310"/>
      <c r="AL199" s="251"/>
      <c r="AM199" s="251"/>
      <c r="AN199" s="251"/>
      <c r="AO199" s="310"/>
      <c r="AP199" s="310"/>
    </row>
    <row r="200" spans="16:42" s="244" customFormat="1" x14ac:dyDescent="0.25">
      <c r="P200" s="251"/>
      <c r="Q200" s="251"/>
      <c r="R200" s="251"/>
      <c r="S200" s="251"/>
      <c r="T200" s="251"/>
      <c r="U200" s="251"/>
      <c r="V200" s="251"/>
      <c r="W200" s="251"/>
      <c r="X200" s="251"/>
      <c r="Y200" s="251"/>
      <c r="Z200" s="251"/>
      <c r="AA200" s="251"/>
      <c r="AB200" s="251"/>
      <c r="AC200" s="251"/>
      <c r="AD200" s="251"/>
      <c r="AE200" s="251"/>
      <c r="AF200" s="251"/>
      <c r="AG200" s="251"/>
      <c r="AH200" s="251"/>
      <c r="AI200" s="251"/>
      <c r="AJ200" s="310"/>
      <c r="AK200" s="310"/>
      <c r="AL200" s="251"/>
      <c r="AM200" s="251"/>
      <c r="AN200" s="251"/>
      <c r="AO200" s="310"/>
      <c r="AP200" s="310"/>
    </row>
    <row r="201" spans="16:42" s="244" customFormat="1" x14ac:dyDescent="0.25">
      <c r="P201" s="251"/>
      <c r="Q201" s="251"/>
      <c r="R201" s="251"/>
      <c r="S201" s="251"/>
      <c r="T201" s="251"/>
      <c r="U201" s="251"/>
      <c r="V201" s="251"/>
      <c r="W201" s="251"/>
      <c r="X201" s="251"/>
      <c r="Y201" s="251"/>
      <c r="Z201" s="251"/>
      <c r="AA201" s="251"/>
      <c r="AB201" s="251"/>
      <c r="AC201" s="251"/>
      <c r="AD201" s="251"/>
      <c r="AE201" s="251"/>
      <c r="AF201" s="251"/>
      <c r="AG201" s="251"/>
      <c r="AH201" s="251"/>
      <c r="AI201" s="251"/>
      <c r="AJ201" s="310"/>
      <c r="AK201" s="310"/>
      <c r="AL201" s="251"/>
      <c r="AM201" s="251"/>
      <c r="AN201" s="251"/>
      <c r="AO201" s="310"/>
      <c r="AP201" s="310"/>
    </row>
    <row r="202" spans="16:42" s="244" customFormat="1" x14ac:dyDescent="0.25">
      <c r="P202" s="251"/>
      <c r="Q202" s="251"/>
      <c r="R202" s="251"/>
      <c r="S202" s="251"/>
      <c r="T202" s="251"/>
      <c r="U202" s="251"/>
      <c r="V202" s="251"/>
      <c r="W202" s="251"/>
      <c r="X202" s="251"/>
      <c r="Y202" s="251"/>
      <c r="Z202" s="251"/>
      <c r="AA202" s="251"/>
      <c r="AB202" s="251"/>
      <c r="AC202" s="251"/>
      <c r="AD202" s="251"/>
      <c r="AE202" s="251"/>
      <c r="AF202" s="251"/>
      <c r="AG202" s="251"/>
      <c r="AH202" s="251"/>
      <c r="AI202" s="251"/>
      <c r="AJ202" s="310"/>
      <c r="AK202" s="310"/>
      <c r="AL202" s="251"/>
      <c r="AM202" s="251"/>
      <c r="AN202" s="251"/>
      <c r="AO202" s="310"/>
      <c r="AP202" s="310"/>
    </row>
    <row r="203" spans="16:42" s="244" customFormat="1" x14ac:dyDescent="0.25">
      <c r="P203" s="251"/>
      <c r="Q203" s="251"/>
      <c r="R203" s="251"/>
      <c r="S203" s="251"/>
      <c r="T203" s="251"/>
      <c r="U203" s="251"/>
      <c r="V203" s="251"/>
      <c r="W203" s="251"/>
      <c r="X203" s="251"/>
      <c r="Y203" s="251"/>
      <c r="Z203" s="251"/>
      <c r="AA203" s="251"/>
      <c r="AB203" s="251"/>
      <c r="AC203" s="251"/>
      <c r="AD203" s="251"/>
      <c r="AE203" s="251"/>
      <c r="AF203" s="251"/>
      <c r="AG203" s="251"/>
      <c r="AH203" s="251"/>
      <c r="AI203" s="251"/>
      <c r="AJ203" s="310"/>
      <c r="AK203" s="310"/>
      <c r="AL203" s="251"/>
      <c r="AM203" s="251"/>
      <c r="AN203" s="251"/>
      <c r="AO203" s="310"/>
      <c r="AP203" s="310"/>
    </row>
    <row r="204" spans="16:42" s="244" customFormat="1" x14ac:dyDescent="0.25">
      <c r="P204" s="251"/>
      <c r="Q204" s="251"/>
      <c r="R204" s="251"/>
      <c r="S204" s="251"/>
      <c r="T204" s="251"/>
      <c r="U204" s="251"/>
      <c r="V204" s="251"/>
      <c r="W204" s="251"/>
      <c r="X204" s="251"/>
      <c r="Y204" s="251"/>
      <c r="Z204" s="251"/>
      <c r="AA204" s="251"/>
      <c r="AB204" s="251"/>
      <c r="AC204" s="251"/>
      <c r="AD204" s="251"/>
      <c r="AE204" s="251"/>
      <c r="AF204" s="251"/>
      <c r="AG204" s="251"/>
      <c r="AH204" s="251"/>
      <c r="AI204" s="251"/>
      <c r="AJ204" s="310"/>
      <c r="AK204" s="310"/>
      <c r="AL204" s="251"/>
      <c r="AM204" s="251"/>
      <c r="AN204" s="251"/>
      <c r="AO204" s="310"/>
      <c r="AP204" s="310"/>
    </row>
    <row r="205" spans="16:42" s="244" customFormat="1" x14ac:dyDescent="0.25">
      <c r="P205" s="251"/>
      <c r="Q205" s="251"/>
      <c r="R205" s="251"/>
      <c r="S205" s="251"/>
      <c r="T205" s="251"/>
      <c r="U205" s="251"/>
      <c r="V205" s="251"/>
      <c r="W205" s="251"/>
      <c r="X205" s="251"/>
      <c r="Y205" s="251"/>
      <c r="Z205" s="251"/>
      <c r="AA205" s="251"/>
      <c r="AB205" s="251"/>
      <c r="AC205" s="251"/>
      <c r="AD205" s="251"/>
      <c r="AE205" s="251"/>
      <c r="AF205" s="251"/>
      <c r="AG205" s="251"/>
      <c r="AH205" s="251"/>
      <c r="AI205" s="251"/>
      <c r="AJ205" s="310"/>
      <c r="AK205" s="310"/>
      <c r="AL205" s="251"/>
      <c r="AM205" s="251"/>
      <c r="AN205" s="251"/>
      <c r="AO205" s="310"/>
      <c r="AP205" s="310"/>
    </row>
    <row r="206" spans="16:42" s="244" customFormat="1" x14ac:dyDescent="0.25">
      <c r="P206" s="251"/>
      <c r="Q206" s="251"/>
      <c r="R206" s="251"/>
      <c r="S206" s="251"/>
      <c r="T206" s="251"/>
      <c r="U206" s="251"/>
      <c r="V206" s="251"/>
      <c r="W206" s="251"/>
      <c r="X206" s="251"/>
      <c r="Y206" s="251"/>
      <c r="Z206" s="251"/>
      <c r="AA206" s="251"/>
      <c r="AB206" s="251"/>
      <c r="AC206" s="251"/>
      <c r="AD206" s="251"/>
      <c r="AE206" s="251"/>
      <c r="AF206" s="251"/>
      <c r="AG206" s="251"/>
      <c r="AH206" s="251"/>
      <c r="AI206" s="251"/>
      <c r="AJ206" s="310"/>
      <c r="AK206" s="310"/>
      <c r="AL206" s="251"/>
      <c r="AM206" s="251"/>
      <c r="AN206" s="251"/>
      <c r="AO206" s="310"/>
      <c r="AP206" s="310"/>
    </row>
    <row r="207" spans="16:42" s="244" customFormat="1" x14ac:dyDescent="0.25">
      <c r="P207" s="251"/>
      <c r="Q207" s="251"/>
      <c r="R207" s="251"/>
      <c r="S207" s="251"/>
      <c r="T207" s="251"/>
      <c r="U207" s="251"/>
      <c r="V207" s="251"/>
      <c r="W207" s="251"/>
      <c r="X207" s="251"/>
      <c r="Y207" s="251"/>
      <c r="Z207" s="251"/>
      <c r="AA207" s="251"/>
      <c r="AB207" s="251"/>
      <c r="AC207" s="251"/>
      <c r="AD207" s="251"/>
      <c r="AE207" s="251"/>
      <c r="AF207" s="251"/>
      <c r="AG207" s="251"/>
      <c r="AH207" s="251"/>
      <c r="AI207" s="251"/>
      <c r="AJ207" s="310"/>
      <c r="AK207" s="310"/>
      <c r="AL207" s="251"/>
      <c r="AM207" s="251"/>
      <c r="AN207" s="251"/>
      <c r="AO207" s="310"/>
      <c r="AP207" s="310"/>
    </row>
    <row r="208" spans="16:42" s="244" customFormat="1" x14ac:dyDescent="0.25">
      <c r="P208" s="251"/>
      <c r="Q208" s="251"/>
      <c r="R208" s="251"/>
      <c r="S208" s="251"/>
      <c r="T208" s="251"/>
      <c r="U208" s="251"/>
      <c r="V208" s="251"/>
      <c r="W208" s="251"/>
      <c r="X208" s="251"/>
      <c r="Y208" s="251"/>
      <c r="Z208" s="251"/>
      <c r="AA208" s="251"/>
      <c r="AB208" s="251"/>
      <c r="AC208" s="251"/>
      <c r="AD208" s="251"/>
      <c r="AE208" s="251"/>
      <c r="AF208" s="251"/>
      <c r="AG208" s="251"/>
      <c r="AH208" s="251"/>
      <c r="AI208" s="251"/>
      <c r="AJ208" s="310"/>
      <c r="AK208" s="310"/>
      <c r="AL208" s="251"/>
      <c r="AM208" s="251"/>
      <c r="AN208" s="251"/>
      <c r="AO208" s="310"/>
      <c r="AP208" s="310"/>
    </row>
    <row r="209" spans="16:42" s="244" customFormat="1" x14ac:dyDescent="0.25">
      <c r="P209" s="251"/>
      <c r="Q209" s="251"/>
      <c r="R209" s="251"/>
      <c r="S209" s="251"/>
      <c r="T209" s="251"/>
      <c r="U209" s="251"/>
      <c r="V209" s="251"/>
      <c r="W209" s="251"/>
      <c r="X209" s="251"/>
      <c r="Y209" s="251"/>
      <c r="Z209" s="251"/>
      <c r="AA209" s="251"/>
      <c r="AB209" s="251"/>
      <c r="AC209" s="251"/>
      <c r="AD209" s="251"/>
      <c r="AE209" s="251"/>
      <c r="AF209" s="251"/>
      <c r="AG209" s="251"/>
      <c r="AH209" s="251"/>
      <c r="AI209" s="251"/>
      <c r="AJ209" s="310"/>
      <c r="AK209" s="310"/>
      <c r="AL209" s="251"/>
      <c r="AM209" s="251"/>
      <c r="AN209" s="251"/>
      <c r="AO209" s="310"/>
      <c r="AP209" s="310"/>
    </row>
    <row r="210" spans="16:42" s="244" customFormat="1" x14ac:dyDescent="0.25">
      <c r="P210" s="251"/>
      <c r="Q210" s="251"/>
      <c r="R210" s="251"/>
      <c r="S210" s="251"/>
      <c r="T210" s="251"/>
      <c r="U210" s="251"/>
      <c r="V210" s="251"/>
      <c r="W210" s="251"/>
      <c r="X210" s="251"/>
      <c r="Y210" s="251"/>
      <c r="Z210" s="251"/>
      <c r="AA210" s="251"/>
      <c r="AB210" s="251"/>
      <c r="AC210" s="251"/>
      <c r="AD210" s="251"/>
      <c r="AE210" s="251"/>
      <c r="AF210" s="251"/>
      <c r="AG210" s="251"/>
      <c r="AH210" s="251"/>
      <c r="AI210" s="251"/>
      <c r="AJ210" s="310"/>
      <c r="AK210" s="310"/>
      <c r="AL210" s="251"/>
      <c r="AM210" s="251"/>
      <c r="AN210" s="251"/>
      <c r="AO210" s="310"/>
      <c r="AP210" s="310"/>
    </row>
    <row r="211" spans="16:42" s="244" customFormat="1" x14ac:dyDescent="0.25">
      <c r="P211" s="251"/>
      <c r="Q211" s="251"/>
      <c r="R211" s="251"/>
      <c r="S211" s="251"/>
      <c r="T211" s="251"/>
      <c r="U211" s="251"/>
      <c r="V211" s="251"/>
      <c r="W211" s="251"/>
      <c r="X211" s="251"/>
      <c r="Y211" s="251"/>
      <c r="Z211" s="251"/>
      <c r="AA211" s="251"/>
      <c r="AB211" s="251"/>
      <c r="AC211" s="251"/>
      <c r="AD211" s="251"/>
      <c r="AE211" s="251"/>
      <c r="AF211" s="251"/>
      <c r="AG211" s="251"/>
      <c r="AH211" s="251"/>
      <c r="AI211" s="251"/>
      <c r="AJ211" s="310"/>
      <c r="AK211" s="310"/>
      <c r="AL211" s="251"/>
      <c r="AM211" s="251"/>
      <c r="AN211" s="251"/>
      <c r="AO211" s="310"/>
      <c r="AP211" s="310"/>
    </row>
    <row r="212" spans="16:42" s="244" customFormat="1" x14ac:dyDescent="0.25">
      <c r="P212" s="251"/>
      <c r="Q212" s="251"/>
      <c r="R212" s="251"/>
      <c r="S212" s="251"/>
      <c r="T212" s="251"/>
      <c r="U212" s="251"/>
      <c r="V212" s="251"/>
      <c r="W212" s="251"/>
      <c r="X212" s="251"/>
      <c r="Y212" s="251"/>
      <c r="Z212" s="251"/>
      <c r="AA212" s="251"/>
      <c r="AB212" s="251"/>
      <c r="AC212" s="251"/>
      <c r="AD212" s="251"/>
      <c r="AE212" s="251"/>
      <c r="AF212" s="251"/>
      <c r="AG212" s="251"/>
      <c r="AH212" s="251"/>
      <c r="AI212" s="251"/>
      <c r="AJ212" s="310"/>
      <c r="AK212" s="310"/>
      <c r="AL212" s="251"/>
      <c r="AM212" s="251"/>
      <c r="AN212" s="251"/>
      <c r="AO212" s="310"/>
      <c r="AP212" s="310"/>
    </row>
    <row r="213" spans="16:42" s="244" customFormat="1" x14ac:dyDescent="0.25">
      <c r="P213" s="251"/>
      <c r="Q213" s="251"/>
      <c r="R213" s="251"/>
      <c r="S213" s="251"/>
      <c r="T213" s="251"/>
      <c r="U213" s="251"/>
      <c r="V213" s="251"/>
      <c r="W213" s="251"/>
      <c r="X213" s="251"/>
      <c r="Y213" s="251"/>
      <c r="Z213" s="251"/>
      <c r="AA213" s="251"/>
      <c r="AB213" s="251"/>
      <c r="AC213" s="251"/>
      <c r="AD213" s="251"/>
      <c r="AE213" s="251"/>
      <c r="AF213" s="251"/>
      <c r="AG213" s="251"/>
      <c r="AH213" s="251"/>
      <c r="AI213" s="251"/>
      <c r="AJ213" s="310"/>
      <c r="AK213" s="310"/>
      <c r="AL213" s="251"/>
      <c r="AM213" s="251"/>
      <c r="AN213" s="251"/>
      <c r="AO213" s="310"/>
      <c r="AP213" s="310"/>
    </row>
    <row r="214" spans="16:42" s="244" customFormat="1" x14ac:dyDescent="0.25">
      <c r="P214" s="251"/>
      <c r="Q214" s="251"/>
      <c r="R214" s="251"/>
      <c r="S214" s="251"/>
      <c r="T214" s="251"/>
      <c r="U214" s="251"/>
      <c r="V214" s="251"/>
      <c r="W214" s="251"/>
      <c r="X214" s="251"/>
      <c r="Y214" s="251"/>
      <c r="Z214" s="251"/>
      <c r="AA214" s="251"/>
      <c r="AB214" s="251"/>
      <c r="AC214" s="251"/>
      <c r="AD214" s="251"/>
      <c r="AE214" s="251"/>
      <c r="AF214" s="251"/>
      <c r="AG214" s="251"/>
      <c r="AH214" s="251"/>
      <c r="AI214" s="251"/>
      <c r="AJ214" s="310"/>
      <c r="AK214" s="310"/>
      <c r="AL214" s="251"/>
      <c r="AM214" s="251"/>
      <c r="AN214" s="251"/>
      <c r="AO214" s="310"/>
      <c r="AP214" s="310"/>
    </row>
    <row r="215" spans="16:42" s="244" customFormat="1" x14ac:dyDescent="0.25">
      <c r="P215" s="251"/>
      <c r="Q215" s="251"/>
      <c r="R215" s="251"/>
      <c r="S215" s="251"/>
      <c r="T215" s="251"/>
      <c r="U215" s="251"/>
      <c r="V215" s="251"/>
      <c r="W215" s="251"/>
      <c r="X215" s="251"/>
      <c r="Y215" s="251"/>
      <c r="Z215" s="251"/>
      <c r="AA215" s="251"/>
      <c r="AB215" s="251"/>
      <c r="AC215" s="251"/>
      <c r="AD215" s="251"/>
      <c r="AE215" s="251"/>
      <c r="AF215" s="251"/>
      <c r="AG215" s="251"/>
      <c r="AH215" s="251"/>
      <c r="AI215" s="251"/>
      <c r="AJ215" s="310"/>
      <c r="AK215" s="310"/>
      <c r="AL215" s="251"/>
      <c r="AM215" s="251"/>
      <c r="AN215" s="251"/>
      <c r="AO215" s="310"/>
      <c r="AP215" s="310"/>
    </row>
  </sheetData>
  <mergeCells count="68">
    <mergeCell ref="P113:AC130"/>
    <mergeCell ref="AG40:AK40"/>
    <mergeCell ref="AL40:AN40"/>
    <mergeCell ref="AG41:AK41"/>
    <mergeCell ref="AL41:AN41"/>
    <mergeCell ref="P89:AC89"/>
    <mergeCell ref="P111:AC112"/>
    <mergeCell ref="CG20:CG22"/>
    <mergeCell ref="X19:Y21"/>
    <mergeCell ref="Z19:AA21"/>
    <mergeCell ref="AB19:AC21"/>
    <mergeCell ref="AR19:AU19"/>
    <mergeCell ref="CB20:CB22"/>
    <mergeCell ref="CA20:CA22"/>
    <mergeCell ref="BI19:BN19"/>
    <mergeCell ref="AB22:AC22"/>
    <mergeCell ref="BI20:BI22"/>
    <mergeCell ref="BJ20:BJ22"/>
    <mergeCell ref="BK20:BL20"/>
    <mergeCell ref="BM20:BN20"/>
    <mergeCell ref="CT19:CX19"/>
    <mergeCell ref="CJ18:CX18"/>
    <mergeCell ref="CJ19:CM19"/>
    <mergeCell ref="CN19:CO19"/>
    <mergeCell ref="CU20:CU22"/>
    <mergeCell ref="CV20:CV22"/>
    <mergeCell ref="CP19:CQ19"/>
    <mergeCell ref="CN20:CN22"/>
    <mergeCell ref="CW20:CW22"/>
    <mergeCell ref="CX20:CX22"/>
    <mergeCell ref="CO20:CO22"/>
    <mergeCell ref="CP20:CP22"/>
    <mergeCell ref="CQ20:CQ22"/>
    <mergeCell ref="CR20:CR22"/>
    <mergeCell ref="CS20:CS22"/>
    <mergeCell ref="CT20:CT22"/>
    <mergeCell ref="CJ20:CJ22"/>
    <mergeCell ref="CK20:CK22"/>
    <mergeCell ref="CR19:CS19"/>
    <mergeCell ref="AV21:BG21"/>
    <mergeCell ref="BK21:BK22"/>
    <mergeCell ref="BL21:BL22"/>
    <mergeCell ref="BM21:BM22"/>
    <mergeCell ref="BN21:BN22"/>
    <mergeCell ref="CL20:CL22"/>
    <mergeCell ref="CM20:CM22"/>
    <mergeCell ref="CC20:CC22"/>
    <mergeCell ref="CI20:CI22"/>
    <mergeCell ref="CH20:CH22"/>
    <mergeCell ref="CD20:CD22"/>
    <mergeCell ref="CE20:CE22"/>
    <mergeCell ref="CF20:CF22"/>
    <mergeCell ref="AN17:AP17"/>
    <mergeCell ref="P18:Z18"/>
    <mergeCell ref="AB18:AC18"/>
    <mergeCell ref="AE18:AF18"/>
    <mergeCell ref="T19:U21"/>
    <mergeCell ref="V19:W21"/>
    <mergeCell ref="P19:P22"/>
    <mergeCell ref="Q19:Q22"/>
    <mergeCell ref="R19:S21"/>
    <mergeCell ref="P17:AC17"/>
    <mergeCell ref="AE17:AM17"/>
    <mergeCell ref="R22:S22"/>
    <mergeCell ref="T22:U22"/>
    <mergeCell ref="V22:W22"/>
    <mergeCell ref="X22:Y22"/>
    <mergeCell ref="Z22:AA22"/>
  </mergeCells>
  <conditionalFormatting sqref="CV23:CW23 CU31:CV31">
    <cfRule type="cellIs" dxfId="176" priority="177" stopIfTrue="1" operator="lessThan">
      <formula>0</formula>
    </cfRule>
  </conditionalFormatting>
  <conditionalFormatting sqref="CL23:CS23 CC23 CW23:CX23 CC31 CK31:CR31 CV31:CW31">
    <cfRule type="expression" dxfId="175" priority="176" stopIfTrue="1">
      <formula>CC23&lt;($AO$42)</formula>
    </cfRule>
  </conditionalFormatting>
  <conditionalFormatting sqref="AP19:AP39">
    <cfRule type="cellIs" dxfId="174" priority="175" stopIfTrue="1" operator="lessThan">
      <formula>0</formula>
    </cfRule>
  </conditionalFormatting>
  <conditionalFormatting sqref="AP19:AP39">
    <cfRule type="cellIs" dxfId="173" priority="174" stopIfTrue="1" operator="lessThan">
      <formula>0</formula>
    </cfRule>
  </conditionalFormatting>
  <conditionalFormatting sqref="AL19:AP39">
    <cfRule type="expression" dxfId="172" priority="172">
      <formula>$AR$18=2</formula>
    </cfRule>
    <cfRule type="expression" dxfId="171" priority="173">
      <formula>$AR$18=1</formula>
    </cfRule>
  </conditionalFormatting>
  <conditionalFormatting sqref="AO40">
    <cfRule type="expression" dxfId="170" priority="170">
      <formula>$AR$18=2</formula>
    </cfRule>
    <cfRule type="expression" dxfId="169" priority="171">
      <formula>$AR$18=1</formula>
    </cfRule>
  </conditionalFormatting>
  <conditionalFormatting sqref="AO41">
    <cfRule type="expression" dxfId="168" priority="168">
      <formula>$AR$18=2</formula>
    </cfRule>
    <cfRule type="expression" dxfId="167" priority="169">
      <formula>$AR$18=1</formula>
    </cfRule>
  </conditionalFormatting>
  <conditionalFormatting sqref="AH20:AK39">
    <cfRule type="expression" dxfId="166" priority="166">
      <formula>$AR$18=2</formula>
    </cfRule>
    <cfRule type="expression" dxfId="165" priority="167">
      <formula>$AR$18=1</formula>
    </cfRule>
  </conditionalFormatting>
  <conditionalFormatting sqref="R88:AC88 S23:S87 U23:U87 W23:W87 Y23:Y87 AA23:AA87 AC23:AC87">
    <cfRule type="expression" dxfId="164" priority="161" stopIfTrue="1">
      <formula>AV23=$AB$18</formula>
    </cfRule>
  </conditionalFormatting>
  <conditionalFormatting sqref="R23:R88 T23:T88 V23:V88 X23:X88 Z23:Z88 AB23:AB88">
    <cfRule type="expression" dxfId="163" priority="162" stopIfTrue="1">
      <formula>R23&amp;S23=$AA$18&amp;$AB$18</formula>
    </cfRule>
    <cfRule type="expression" dxfId="162" priority="163" stopIfTrue="1">
      <formula>AV23=$AB$18</formula>
    </cfRule>
  </conditionalFormatting>
  <conditionalFormatting sqref="R23:R88 T23:T88 V23:V88 X23:X88 Z23:Z88 AB23:AB88">
    <cfRule type="expression" dxfId="161" priority="164">
      <formula>AND(AV23&gt;=$AV$19,AV23&lt;=$AV$20)</formula>
    </cfRule>
  </conditionalFormatting>
  <conditionalFormatting sqref="S23:S88 U23:U88 W23:W88 Y23:Y88 AA23:AA88 AC23:AC88">
    <cfRule type="expression" dxfId="160" priority="165">
      <formula>AND(AW23&gt;=$AV$19,AW23&lt;=$AV$20)</formula>
    </cfRule>
  </conditionalFormatting>
  <conditionalFormatting sqref="AB90:AB95">
    <cfRule type="expression" dxfId="159" priority="158" stopIfTrue="1">
      <formula>AB90&amp;AC90=$AA$18&amp;$AB$18</formula>
    </cfRule>
    <cfRule type="expression" dxfId="158" priority="159" stopIfTrue="1">
      <formula>BF90=$AB$18</formula>
    </cfRule>
  </conditionalFormatting>
  <conditionalFormatting sqref="AB90:AB95">
    <cfRule type="expression" dxfId="157" priority="160">
      <formula>AND(BF90&gt;=$AV$19,BF90&lt;=$AV$20)</formula>
    </cfRule>
  </conditionalFormatting>
  <conditionalFormatting sqref="AC90:AC95">
    <cfRule type="expression" dxfId="156" priority="156" stopIfTrue="1">
      <formula>BG90=$AB$18</formula>
    </cfRule>
  </conditionalFormatting>
  <conditionalFormatting sqref="AC90:AC95">
    <cfRule type="expression" dxfId="155" priority="157">
      <formula>AND(BG90&gt;=$AV$19,BG90&lt;=$AV$20)</formula>
    </cfRule>
  </conditionalFormatting>
  <conditionalFormatting sqref="AB95:AB98">
    <cfRule type="expression" dxfId="154" priority="153" stopIfTrue="1">
      <formula>AB95&amp;AC95=$AA$18&amp;$AB$18</formula>
    </cfRule>
    <cfRule type="expression" dxfId="153" priority="154" stopIfTrue="1">
      <formula>BF95=$AB$18</formula>
    </cfRule>
  </conditionalFormatting>
  <conditionalFormatting sqref="AB95:AB98">
    <cfRule type="expression" dxfId="152" priority="155">
      <formula>AND(BF95&gt;=$AV$19,BF95&lt;=$AV$20)</formula>
    </cfRule>
  </conditionalFormatting>
  <conditionalFormatting sqref="AC95:AC98">
    <cfRule type="expression" dxfId="151" priority="151" stopIfTrue="1">
      <formula>BG95=$AB$18</formula>
    </cfRule>
  </conditionalFormatting>
  <conditionalFormatting sqref="AC95:AC98">
    <cfRule type="expression" dxfId="150" priority="152">
      <formula>AND(BG95&gt;=$AV$19,BG95&lt;=$AV$20)</formula>
    </cfRule>
  </conditionalFormatting>
  <conditionalFormatting sqref="AB98">
    <cfRule type="expression" dxfId="149" priority="148" stopIfTrue="1">
      <formula>AB98&amp;AC98=$AA$18&amp;$AB$18</formula>
    </cfRule>
    <cfRule type="expression" dxfId="148" priority="149" stopIfTrue="1">
      <formula>BF98=$AB$18</formula>
    </cfRule>
  </conditionalFormatting>
  <conditionalFormatting sqref="AB98">
    <cfRule type="expression" dxfId="147" priority="150">
      <formula>AND(BF98&gt;=$AV$19,BF98&lt;=$AV$20)</formula>
    </cfRule>
  </conditionalFormatting>
  <conditionalFormatting sqref="AC98">
    <cfRule type="expression" dxfId="146" priority="146" stopIfTrue="1">
      <formula>BG98=$AB$18</formula>
    </cfRule>
  </conditionalFormatting>
  <conditionalFormatting sqref="AC98">
    <cfRule type="expression" dxfId="145" priority="147">
      <formula>AND(BG98&gt;=$AV$19,BG98&lt;=$AV$20)</formula>
    </cfRule>
  </conditionalFormatting>
  <conditionalFormatting sqref="AB98:AB101">
    <cfRule type="expression" dxfId="144" priority="143" stopIfTrue="1">
      <formula>AB98&amp;AC98=$AA$18&amp;$AB$18</formula>
    </cfRule>
    <cfRule type="expression" dxfId="143" priority="144" stopIfTrue="1">
      <formula>BF98=$AB$18</formula>
    </cfRule>
  </conditionalFormatting>
  <conditionalFormatting sqref="AB98:AB101">
    <cfRule type="expression" dxfId="142" priority="145">
      <formula>AND(BF98&gt;=$AV$19,BF98&lt;=$AV$20)</formula>
    </cfRule>
  </conditionalFormatting>
  <conditionalFormatting sqref="AC98:AC101">
    <cfRule type="expression" dxfId="141" priority="141" stopIfTrue="1">
      <formula>BG98=$AB$18</formula>
    </cfRule>
  </conditionalFormatting>
  <conditionalFormatting sqref="AC98:AC101">
    <cfRule type="expression" dxfId="140" priority="142">
      <formula>AND(BG98&gt;=$AV$19,BG98&lt;=$AV$20)</formula>
    </cfRule>
  </conditionalFormatting>
  <conditionalFormatting sqref="AB96:AB97">
    <cfRule type="expression" dxfId="139" priority="138" stopIfTrue="1">
      <formula>AB96&amp;AC96=$AA$18&amp;$AB$18</formula>
    </cfRule>
    <cfRule type="expression" dxfId="138" priority="139" stopIfTrue="1">
      <formula>BF96=$AB$18</formula>
    </cfRule>
  </conditionalFormatting>
  <conditionalFormatting sqref="AB96:AB97">
    <cfRule type="expression" dxfId="137" priority="140">
      <formula>AND(BF96&gt;=$AV$19,BF96&lt;=$AV$20)</formula>
    </cfRule>
  </conditionalFormatting>
  <conditionalFormatting sqref="AC96:AC97">
    <cfRule type="expression" dxfId="136" priority="136" stopIfTrue="1">
      <formula>BG96=$AB$18</formula>
    </cfRule>
  </conditionalFormatting>
  <conditionalFormatting sqref="AC96:AC97">
    <cfRule type="expression" dxfId="135" priority="137">
      <formula>AND(BG96&gt;=$AV$19,BG96&lt;=$AV$20)</formula>
    </cfRule>
  </conditionalFormatting>
  <conditionalFormatting sqref="AB101">
    <cfRule type="expression" dxfId="134" priority="133" stopIfTrue="1">
      <formula>AB101&amp;AC101=$AA$18&amp;$AB$18</formula>
    </cfRule>
    <cfRule type="expression" dxfId="133" priority="134" stopIfTrue="1">
      <formula>BF101=$AB$18</formula>
    </cfRule>
  </conditionalFormatting>
  <conditionalFormatting sqref="AB101">
    <cfRule type="expression" dxfId="132" priority="135">
      <formula>AND(BF101&gt;=$AV$19,BF101&lt;=$AV$20)</formula>
    </cfRule>
  </conditionalFormatting>
  <conditionalFormatting sqref="AC101">
    <cfRule type="expression" dxfId="131" priority="131" stopIfTrue="1">
      <formula>BG101=$AB$18</formula>
    </cfRule>
  </conditionalFormatting>
  <conditionalFormatting sqref="AC101">
    <cfRule type="expression" dxfId="130" priority="132">
      <formula>AND(BG101&gt;=$AV$19,BG101&lt;=$AV$20)</formula>
    </cfRule>
  </conditionalFormatting>
  <conditionalFormatting sqref="AB101">
    <cfRule type="expression" dxfId="129" priority="128" stopIfTrue="1">
      <formula>AB101&amp;AC101=$AA$18&amp;$AB$18</formula>
    </cfRule>
    <cfRule type="expression" dxfId="128" priority="129" stopIfTrue="1">
      <formula>BF101=$AB$18</formula>
    </cfRule>
  </conditionalFormatting>
  <conditionalFormatting sqref="AB101">
    <cfRule type="expression" dxfId="127" priority="130">
      <formula>AND(BF101&gt;=$AV$19,BF101&lt;=$AV$20)</formula>
    </cfRule>
  </conditionalFormatting>
  <conditionalFormatting sqref="AC101">
    <cfRule type="expression" dxfId="126" priority="126" stopIfTrue="1">
      <formula>BG101=$AB$18</formula>
    </cfRule>
  </conditionalFormatting>
  <conditionalFormatting sqref="AC101">
    <cfRule type="expression" dxfId="125" priority="127">
      <formula>AND(BG101&gt;=$AV$19,BG101&lt;=$AV$20)</formula>
    </cfRule>
  </conditionalFormatting>
  <conditionalFormatting sqref="AB101:AB104">
    <cfRule type="expression" dxfId="124" priority="123" stopIfTrue="1">
      <formula>AB101&amp;AC101=$AA$18&amp;$AB$18</formula>
    </cfRule>
    <cfRule type="expression" dxfId="123" priority="124" stopIfTrue="1">
      <formula>BF101=$AB$18</formula>
    </cfRule>
  </conditionalFormatting>
  <conditionalFormatting sqref="AB101:AB104">
    <cfRule type="expression" dxfId="122" priority="125">
      <formula>AND(BF101&gt;=$AV$19,BF101&lt;=$AV$20)</formula>
    </cfRule>
  </conditionalFormatting>
  <conditionalFormatting sqref="AC101:AC104">
    <cfRule type="expression" dxfId="121" priority="121" stopIfTrue="1">
      <formula>BG101=$AB$18</formula>
    </cfRule>
  </conditionalFormatting>
  <conditionalFormatting sqref="AC101:AC104">
    <cfRule type="expression" dxfId="120" priority="122">
      <formula>AND(BG101&gt;=$AV$19,BG101&lt;=$AV$20)</formula>
    </cfRule>
  </conditionalFormatting>
  <conditionalFormatting sqref="AB99:AB100">
    <cfRule type="expression" dxfId="119" priority="118" stopIfTrue="1">
      <formula>AB99&amp;AC99=$AA$18&amp;$AB$18</formula>
    </cfRule>
    <cfRule type="expression" dxfId="118" priority="119" stopIfTrue="1">
      <formula>BF99=$AB$18</formula>
    </cfRule>
  </conditionalFormatting>
  <conditionalFormatting sqref="AB99:AB100">
    <cfRule type="expression" dxfId="117" priority="120">
      <formula>AND(BF99&gt;=$AV$19,BF99&lt;=$AV$20)</formula>
    </cfRule>
  </conditionalFormatting>
  <conditionalFormatting sqref="AC99:AC100">
    <cfRule type="expression" dxfId="116" priority="116" stopIfTrue="1">
      <formula>BG99=$AB$18</formula>
    </cfRule>
  </conditionalFormatting>
  <conditionalFormatting sqref="AC99:AC100">
    <cfRule type="expression" dxfId="115" priority="117">
      <formula>AND(BG99&gt;=$AV$19,BG99&lt;=$AV$20)</formula>
    </cfRule>
  </conditionalFormatting>
  <conditionalFormatting sqref="AB100">
    <cfRule type="expression" dxfId="114" priority="113" stopIfTrue="1">
      <formula>AB100&amp;AC100=$AA$18&amp;$AB$18</formula>
    </cfRule>
    <cfRule type="expression" dxfId="113" priority="114" stopIfTrue="1">
      <formula>BF100=$AB$18</formula>
    </cfRule>
  </conditionalFormatting>
  <conditionalFormatting sqref="AB100">
    <cfRule type="expression" dxfId="112" priority="115">
      <formula>AND(BF100&gt;=$AV$19,BF100&lt;=$AV$20)</formula>
    </cfRule>
  </conditionalFormatting>
  <conditionalFormatting sqref="AC100">
    <cfRule type="expression" dxfId="111" priority="111" stopIfTrue="1">
      <formula>BG100=$AB$18</formula>
    </cfRule>
  </conditionalFormatting>
  <conditionalFormatting sqref="AC100">
    <cfRule type="expression" dxfId="110" priority="112">
      <formula>AND(BG100&gt;=$AV$19,BG100&lt;=$AV$20)</formula>
    </cfRule>
  </conditionalFormatting>
  <conditionalFormatting sqref="AB99">
    <cfRule type="expression" dxfId="109" priority="108" stopIfTrue="1">
      <formula>AB99&amp;AC99=$AA$18&amp;$AB$18</formula>
    </cfRule>
    <cfRule type="expression" dxfId="108" priority="109" stopIfTrue="1">
      <formula>BF99=$AB$18</formula>
    </cfRule>
  </conditionalFormatting>
  <conditionalFormatting sqref="AB99">
    <cfRule type="expression" dxfId="107" priority="110">
      <formula>AND(BF99&gt;=$AV$19,BF99&lt;=$AV$20)</formula>
    </cfRule>
  </conditionalFormatting>
  <conditionalFormatting sqref="AC99">
    <cfRule type="expression" dxfId="106" priority="106" stopIfTrue="1">
      <formula>BG99=$AB$18</formula>
    </cfRule>
  </conditionalFormatting>
  <conditionalFormatting sqref="AC99">
    <cfRule type="expression" dxfId="105" priority="107">
      <formula>AND(BG99&gt;=$AV$19,BG99&lt;=$AV$20)</formula>
    </cfRule>
  </conditionalFormatting>
  <conditionalFormatting sqref="AB104">
    <cfRule type="expression" dxfId="104" priority="103" stopIfTrue="1">
      <formula>AB104&amp;AC104=$AA$18&amp;$AB$18</formula>
    </cfRule>
    <cfRule type="expression" dxfId="103" priority="104" stopIfTrue="1">
      <formula>BF104=$AB$18</formula>
    </cfRule>
  </conditionalFormatting>
  <conditionalFormatting sqref="AB104">
    <cfRule type="expression" dxfId="102" priority="105">
      <formula>AND(BF104&gt;=$AV$19,BF104&lt;=$AV$20)</formula>
    </cfRule>
  </conditionalFormatting>
  <conditionalFormatting sqref="AC104">
    <cfRule type="expression" dxfId="101" priority="101" stopIfTrue="1">
      <formula>BG104=$AB$18</formula>
    </cfRule>
  </conditionalFormatting>
  <conditionalFormatting sqref="AC104">
    <cfRule type="expression" dxfId="100" priority="102">
      <formula>AND(BG104&gt;=$AV$19,BG104&lt;=$AV$20)</formula>
    </cfRule>
  </conditionalFormatting>
  <conditionalFormatting sqref="AB104">
    <cfRule type="expression" dxfId="99" priority="98" stopIfTrue="1">
      <formula>AB104&amp;AC104=$AA$18&amp;$AB$18</formula>
    </cfRule>
    <cfRule type="expression" dxfId="98" priority="99" stopIfTrue="1">
      <formula>BF104=$AB$18</formula>
    </cfRule>
  </conditionalFormatting>
  <conditionalFormatting sqref="AB104">
    <cfRule type="expression" dxfId="97" priority="100">
      <formula>AND(BF104&gt;=$AV$19,BF104&lt;=$AV$20)</formula>
    </cfRule>
  </conditionalFormatting>
  <conditionalFormatting sqref="AC104">
    <cfRule type="expression" dxfId="96" priority="96" stopIfTrue="1">
      <formula>BG104=$AB$18</formula>
    </cfRule>
  </conditionalFormatting>
  <conditionalFormatting sqref="AC104">
    <cfRule type="expression" dxfId="95" priority="97">
      <formula>AND(BG104&gt;=$AV$19,BG104&lt;=$AV$20)</formula>
    </cfRule>
  </conditionalFormatting>
  <conditionalFormatting sqref="AB104">
    <cfRule type="expression" dxfId="94" priority="93" stopIfTrue="1">
      <formula>AB104&amp;AC104=$AA$18&amp;$AB$18</formula>
    </cfRule>
    <cfRule type="expression" dxfId="93" priority="94" stopIfTrue="1">
      <formula>BF104=$AB$18</formula>
    </cfRule>
  </conditionalFormatting>
  <conditionalFormatting sqref="AB104">
    <cfRule type="expression" dxfId="92" priority="95">
      <formula>AND(BF104&gt;=$AV$19,BF104&lt;=$AV$20)</formula>
    </cfRule>
  </conditionalFormatting>
  <conditionalFormatting sqref="AC104">
    <cfRule type="expression" dxfId="91" priority="91" stopIfTrue="1">
      <formula>BG104=$AB$18</formula>
    </cfRule>
  </conditionalFormatting>
  <conditionalFormatting sqref="AC104">
    <cfRule type="expression" dxfId="90" priority="92">
      <formula>AND(BG104&gt;=$AV$19,BG104&lt;=$AV$20)</formula>
    </cfRule>
  </conditionalFormatting>
  <conditionalFormatting sqref="AB104:AB107">
    <cfRule type="expression" dxfId="89" priority="88" stopIfTrue="1">
      <formula>AB104&amp;AC104=$AA$18&amp;$AB$18</formula>
    </cfRule>
    <cfRule type="expression" dxfId="88" priority="89" stopIfTrue="1">
      <formula>BF104=$AB$18</formula>
    </cfRule>
  </conditionalFormatting>
  <conditionalFormatting sqref="AB104:AB107">
    <cfRule type="expression" dxfId="87" priority="90">
      <formula>AND(BF104&gt;=$AV$19,BF104&lt;=$AV$20)</formula>
    </cfRule>
  </conditionalFormatting>
  <conditionalFormatting sqref="AC104:AC107">
    <cfRule type="expression" dxfId="86" priority="86" stopIfTrue="1">
      <formula>BG104=$AB$18</formula>
    </cfRule>
  </conditionalFormatting>
  <conditionalFormatting sqref="AC104:AC107">
    <cfRule type="expression" dxfId="85" priority="87">
      <formula>AND(BG104&gt;=$AV$19,BG104&lt;=$AV$20)</formula>
    </cfRule>
  </conditionalFormatting>
  <conditionalFormatting sqref="AB102:AB103">
    <cfRule type="expression" dxfId="84" priority="83" stopIfTrue="1">
      <formula>AB102&amp;AC102=$AA$18&amp;$AB$18</formula>
    </cfRule>
    <cfRule type="expression" dxfId="83" priority="84" stopIfTrue="1">
      <formula>BF102=$AB$18</formula>
    </cfRule>
  </conditionalFormatting>
  <conditionalFormatting sqref="AB102:AB103">
    <cfRule type="expression" dxfId="82" priority="85">
      <formula>AND(BF102&gt;=$AV$19,BF102&lt;=$AV$20)</formula>
    </cfRule>
  </conditionalFormatting>
  <conditionalFormatting sqref="AC102:AC103">
    <cfRule type="expression" dxfId="81" priority="81" stopIfTrue="1">
      <formula>BG102=$AB$18</formula>
    </cfRule>
  </conditionalFormatting>
  <conditionalFormatting sqref="AC102:AC103">
    <cfRule type="expression" dxfId="80" priority="82">
      <formula>AND(BG102&gt;=$AV$19,BG102&lt;=$AV$20)</formula>
    </cfRule>
  </conditionalFormatting>
  <conditionalFormatting sqref="AB103">
    <cfRule type="expression" dxfId="79" priority="78" stopIfTrue="1">
      <formula>AB103&amp;AC103=$AA$18&amp;$AB$18</formula>
    </cfRule>
    <cfRule type="expression" dxfId="78" priority="79" stopIfTrue="1">
      <formula>BF103=$AB$18</formula>
    </cfRule>
  </conditionalFormatting>
  <conditionalFormatting sqref="AB103">
    <cfRule type="expression" dxfId="77" priority="80">
      <formula>AND(BF103&gt;=$AV$19,BF103&lt;=$AV$20)</formula>
    </cfRule>
  </conditionalFormatting>
  <conditionalFormatting sqref="AC103">
    <cfRule type="expression" dxfId="76" priority="76" stopIfTrue="1">
      <formula>BG103=$AB$18</formula>
    </cfRule>
  </conditionalFormatting>
  <conditionalFormatting sqref="AC103">
    <cfRule type="expression" dxfId="75" priority="77">
      <formula>AND(BG103&gt;=$AV$19,BG103&lt;=$AV$20)</formula>
    </cfRule>
  </conditionalFormatting>
  <conditionalFormatting sqref="AB103">
    <cfRule type="expression" dxfId="74" priority="73" stopIfTrue="1">
      <formula>AB103&amp;AC103=$AA$18&amp;$AB$18</formula>
    </cfRule>
    <cfRule type="expression" dxfId="73" priority="74" stopIfTrue="1">
      <formula>BF103=$AB$18</formula>
    </cfRule>
  </conditionalFormatting>
  <conditionalFormatting sqref="AB103">
    <cfRule type="expression" dxfId="72" priority="75">
      <formula>AND(BF103&gt;=$AV$19,BF103&lt;=$AV$20)</formula>
    </cfRule>
  </conditionalFormatting>
  <conditionalFormatting sqref="AC103">
    <cfRule type="expression" dxfId="71" priority="71" stopIfTrue="1">
      <formula>BG103=$AB$18</formula>
    </cfRule>
  </conditionalFormatting>
  <conditionalFormatting sqref="AC103">
    <cfRule type="expression" dxfId="70" priority="72">
      <formula>AND(BG103&gt;=$AV$19,BG103&lt;=$AV$20)</formula>
    </cfRule>
  </conditionalFormatting>
  <conditionalFormatting sqref="AB102">
    <cfRule type="expression" dxfId="69" priority="68" stopIfTrue="1">
      <formula>AB102&amp;AC102=$AA$18&amp;$AB$18</formula>
    </cfRule>
    <cfRule type="expression" dxfId="68" priority="69" stopIfTrue="1">
      <formula>BF102=$AB$18</formula>
    </cfRule>
  </conditionalFormatting>
  <conditionalFormatting sqref="AB102">
    <cfRule type="expression" dxfId="67" priority="70">
      <formula>AND(BF102&gt;=$AV$19,BF102&lt;=$AV$20)</formula>
    </cfRule>
  </conditionalFormatting>
  <conditionalFormatting sqref="AC102">
    <cfRule type="expression" dxfId="66" priority="66" stopIfTrue="1">
      <formula>BG102=$AB$18</formula>
    </cfRule>
  </conditionalFormatting>
  <conditionalFormatting sqref="AC102">
    <cfRule type="expression" dxfId="65" priority="67">
      <formula>AND(BG102&gt;=$AV$19,BG102&lt;=$AV$20)</formula>
    </cfRule>
  </conditionalFormatting>
  <conditionalFormatting sqref="AB102">
    <cfRule type="expression" dxfId="64" priority="63" stopIfTrue="1">
      <formula>AB102&amp;AC102=$AA$18&amp;$AB$18</formula>
    </cfRule>
    <cfRule type="expression" dxfId="63" priority="64" stopIfTrue="1">
      <formula>BF102=$AB$18</formula>
    </cfRule>
  </conditionalFormatting>
  <conditionalFormatting sqref="AB102">
    <cfRule type="expression" dxfId="62" priority="65">
      <formula>AND(BF102&gt;=$AV$19,BF102&lt;=$AV$20)</formula>
    </cfRule>
  </conditionalFormatting>
  <conditionalFormatting sqref="AC102">
    <cfRule type="expression" dxfId="61" priority="61" stopIfTrue="1">
      <formula>BG102=$AB$18</formula>
    </cfRule>
  </conditionalFormatting>
  <conditionalFormatting sqref="AC102">
    <cfRule type="expression" dxfId="60" priority="62">
      <formula>AND(BG102&gt;=$AV$19,BG102&lt;=$AV$20)</formula>
    </cfRule>
  </conditionalFormatting>
  <conditionalFormatting sqref="AB107">
    <cfRule type="expression" dxfId="59" priority="58" stopIfTrue="1">
      <formula>AB107&amp;AC107=$AA$18&amp;$AB$18</formula>
    </cfRule>
    <cfRule type="expression" dxfId="58" priority="59" stopIfTrue="1">
      <formula>BF107=$AB$18</formula>
    </cfRule>
  </conditionalFormatting>
  <conditionalFormatting sqref="AB107">
    <cfRule type="expression" dxfId="57" priority="60">
      <formula>AND(BF107&gt;=$AV$19,BF107&lt;=$AV$20)</formula>
    </cfRule>
  </conditionalFormatting>
  <conditionalFormatting sqref="AC107">
    <cfRule type="expression" dxfId="56" priority="56" stopIfTrue="1">
      <formula>BG107=$AB$18</formula>
    </cfRule>
  </conditionalFormatting>
  <conditionalFormatting sqref="AC107">
    <cfRule type="expression" dxfId="55" priority="57">
      <formula>AND(BG107&gt;=$AV$19,BG107&lt;=$AV$20)</formula>
    </cfRule>
  </conditionalFormatting>
  <conditionalFormatting sqref="AB107">
    <cfRule type="expression" dxfId="54" priority="53" stopIfTrue="1">
      <formula>AB107&amp;AC107=$AA$18&amp;$AB$18</formula>
    </cfRule>
    <cfRule type="expression" dxfId="53" priority="54" stopIfTrue="1">
      <formula>BF107=$AB$18</formula>
    </cfRule>
  </conditionalFormatting>
  <conditionalFormatting sqref="AB107">
    <cfRule type="expression" dxfId="52" priority="55">
      <formula>AND(BF107&gt;=$AV$19,BF107&lt;=$AV$20)</formula>
    </cfRule>
  </conditionalFormatting>
  <conditionalFormatting sqref="AC107">
    <cfRule type="expression" dxfId="51" priority="51" stopIfTrue="1">
      <formula>BG107=$AB$18</formula>
    </cfRule>
  </conditionalFormatting>
  <conditionalFormatting sqref="AC107">
    <cfRule type="expression" dxfId="50" priority="52">
      <formula>AND(BG107&gt;=$AV$19,BG107&lt;=$AV$20)</formula>
    </cfRule>
  </conditionalFormatting>
  <conditionalFormatting sqref="AB107">
    <cfRule type="expression" dxfId="49" priority="48" stopIfTrue="1">
      <formula>AB107&amp;AC107=$AA$18&amp;$AB$18</formula>
    </cfRule>
    <cfRule type="expression" dxfId="48" priority="49" stopIfTrue="1">
      <formula>BF107=$AB$18</formula>
    </cfRule>
  </conditionalFormatting>
  <conditionalFormatting sqref="AB107">
    <cfRule type="expression" dxfId="47" priority="50">
      <formula>AND(BF107&gt;=$AV$19,BF107&lt;=$AV$20)</formula>
    </cfRule>
  </conditionalFormatting>
  <conditionalFormatting sqref="AC107">
    <cfRule type="expression" dxfId="46" priority="46" stopIfTrue="1">
      <formula>BG107=$AB$18</formula>
    </cfRule>
  </conditionalFormatting>
  <conditionalFormatting sqref="AC107">
    <cfRule type="expression" dxfId="45" priority="47">
      <formula>AND(BG107&gt;=$AV$19,BG107&lt;=$AV$20)</formula>
    </cfRule>
  </conditionalFormatting>
  <conditionalFormatting sqref="AB107">
    <cfRule type="expression" dxfId="44" priority="43" stopIfTrue="1">
      <formula>AB107&amp;AC107=$AA$18&amp;$AB$18</formula>
    </cfRule>
    <cfRule type="expression" dxfId="43" priority="44" stopIfTrue="1">
      <formula>BF107=$AB$18</formula>
    </cfRule>
  </conditionalFormatting>
  <conditionalFormatting sqref="AB107">
    <cfRule type="expression" dxfId="42" priority="45">
      <formula>AND(BF107&gt;=$AV$19,BF107&lt;=$AV$20)</formula>
    </cfRule>
  </conditionalFormatting>
  <conditionalFormatting sqref="AC107">
    <cfRule type="expression" dxfId="41" priority="41" stopIfTrue="1">
      <formula>BG107=$AB$18</formula>
    </cfRule>
  </conditionalFormatting>
  <conditionalFormatting sqref="AC107">
    <cfRule type="expression" dxfId="40" priority="42">
      <formula>AND(BG107&gt;=$AV$19,BG107&lt;=$AV$20)</formula>
    </cfRule>
  </conditionalFormatting>
  <conditionalFormatting sqref="AB107:AB109">
    <cfRule type="expression" dxfId="39" priority="38" stopIfTrue="1">
      <formula>AB107&amp;AC107=$AA$18&amp;$AB$18</formula>
    </cfRule>
    <cfRule type="expression" dxfId="38" priority="39" stopIfTrue="1">
      <formula>BF107=$AB$18</formula>
    </cfRule>
  </conditionalFormatting>
  <conditionalFormatting sqref="AB107:AB109">
    <cfRule type="expression" dxfId="37" priority="40">
      <formula>AND(BF107&gt;=$AV$19,BF107&lt;=$AV$20)</formula>
    </cfRule>
  </conditionalFormatting>
  <conditionalFormatting sqref="AC107:AC109">
    <cfRule type="expression" dxfId="36" priority="36" stopIfTrue="1">
      <formula>BG107=$AB$18</formula>
    </cfRule>
  </conditionalFormatting>
  <conditionalFormatting sqref="AC107:AC109">
    <cfRule type="expression" dxfId="35" priority="37">
      <formula>AND(BG107&gt;=$AV$19,BG107&lt;=$AV$20)</formula>
    </cfRule>
  </conditionalFormatting>
  <conditionalFormatting sqref="AB105:AB106">
    <cfRule type="expression" dxfId="34" priority="33" stopIfTrue="1">
      <formula>AB105&amp;AC105=$AA$18&amp;$AB$18</formula>
    </cfRule>
    <cfRule type="expression" dxfId="33" priority="34" stopIfTrue="1">
      <formula>BF105=$AB$18</formula>
    </cfRule>
  </conditionalFormatting>
  <conditionalFormatting sqref="AB105:AB106">
    <cfRule type="expression" dxfId="32" priority="35">
      <formula>AND(BF105&gt;=$AV$19,BF105&lt;=$AV$20)</formula>
    </cfRule>
  </conditionalFormatting>
  <conditionalFormatting sqref="AC105:AC106">
    <cfRule type="expression" dxfId="31" priority="31" stopIfTrue="1">
      <formula>BG105=$AB$18</formula>
    </cfRule>
  </conditionalFormatting>
  <conditionalFormatting sqref="AC105:AC106">
    <cfRule type="expression" dxfId="30" priority="32">
      <formula>AND(BG105&gt;=$AV$19,BG105&lt;=$AV$20)</formula>
    </cfRule>
  </conditionalFormatting>
  <conditionalFormatting sqref="AB106">
    <cfRule type="expression" dxfId="29" priority="28" stopIfTrue="1">
      <formula>AB106&amp;AC106=$AA$18&amp;$AB$18</formula>
    </cfRule>
    <cfRule type="expression" dxfId="28" priority="29" stopIfTrue="1">
      <formula>BF106=$AB$18</formula>
    </cfRule>
  </conditionalFormatting>
  <conditionalFormatting sqref="AB106">
    <cfRule type="expression" dxfId="27" priority="30">
      <formula>AND(BF106&gt;=$AV$19,BF106&lt;=$AV$20)</formula>
    </cfRule>
  </conditionalFormatting>
  <conditionalFormatting sqref="AC106">
    <cfRule type="expression" dxfId="26" priority="26" stopIfTrue="1">
      <formula>BG106=$AB$18</formula>
    </cfRule>
  </conditionalFormatting>
  <conditionalFormatting sqref="AC106">
    <cfRule type="expression" dxfId="25" priority="27">
      <formula>AND(BG106&gt;=$AV$19,BG106&lt;=$AV$20)</formula>
    </cfRule>
  </conditionalFormatting>
  <conditionalFormatting sqref="AB106">
    <cfRule type="expression" dxfId="24" priority="23" stopIfTrue="1">
      <formula>AB106&amp;AC106=$AA$18&amp;$AB$18</formula>
    </cfRule>
    <cfRule type="expression" dxfId="23" priority="24" stopIfTrue="1">
      <formula>BF106=$AB$18</formula>
    </cfRule>
  </conditionalFormatting>
  <conditionalFormatting sqref="AB106">
    <cfRule type="expression" dxfId="22" priority="25">
      <formula>AND(BF106&gt;=$AV$19,BF106&lt;=$AV$20)</formula>
    </cfRule>
  </conditionalFormatting>
  <conditionalFormatting sqref="AC106">
    <cfRule type="expression" dxfId="21" priority="21" stopIfTrue="1">
      <formula>BG106=$AB$18</formula>
    </cfRule>
  </conditionalFormatting>
  <conditionalFormatting sqref="AC106">
    <cfRule type="expression" dxfId="20" priority="22">
      <formula>AND(BG106&gt;=$AV$19,BG106&lt;=$AV$20)</formula>
    </cfRule>
  </conditionalFormatting>
  <conditionalFormatting sqref="AB106">
    <cfRule type="expression" dxfId="19" priority="18" stopIfTrue="1">
      <formula>AB106&amp;AC106=$AA$18&amp;$AB$18</formula>
    </cfRule>
    <cfRule type="expression" dxfId="18" priority="19" stopIfTrue="1">
      <formula>BF106=$AB$18</formula>
    </cfRule>
  </conditionalFormatting>
  <conditionalFormatting sqref="AB106">
    <cfRule type="expression" dxfId="17" priority="20">
      <formula>AND(BF106&gt;=$AV$19,BF106&lt;=$AV$20)</formula>
    </cfRule>
  </conditionalFormatting>
  <conditionalFormatting sqref="AC106">
    <cfRule type="expression" dxfId="16" priority="16" stopIfTrue="1">
      <formula>BG106=$AB$18</formula>
    </cfRule>
  </conditionalFormatting>
  <conditionalFormatting sqref="AC106">
    <cfRule type="expression" dxfId="15" priority="17">
      <formula>AND(BG106&gt;=$AV$19,BG106&lt;=$AV$20)</formula>
    </cfRule>
  </conditionalFormatting>
  <conditionalFormatting sqref="AB105">
    <cfRule type="expression" dxfId="14" priority="13" stopIfTrue="1">
      <formula>AB105&amp;AC105=$AA$18&amp;$AB$18</formula>
    </cfRule>
    <cfRule type="expression" dxfId="13" priority="14" stopIfTrue="1">
      <formula>BF105=$AB$18</formula>
    </cfRule>
  </conditionalFormatting>
  <conditionalFormatting sqref="AB105">
    <cfRule type="expression" dxfId="12" priority="15">
      <formula>AND(BF105&gt;=$AV$19,BF105&lt;=$AV$20)</formula>
    </cfRule>
  </conditionalFormatting>
  <conditionalFormatting sqref="AC105">
    <cfRule type="expression" dxfId="11" priority="11" stopIfTrue="1">
      <formula>BG105=$AB$18</formula>
    </cfRule>
  </conditionalFormatting>
  <conditionalFormatting sqref="AC105">
    <cfRule type="expression" dxfId="10" priority="12">
      <formula>AND(BG105&gt;=$AV$19,BG105&lt;=$AV$20)</formula>
    </cfRule>
  </conditionalFormatting>
  <conditionalFormatting sqref="AB105">
    <cfRule type="expression" dxfId="9" priority="8" stopIfTrue="1">
      <formula>AB105&amp;AC105=$AA$18&amp;$AB$18</formula>
    </cfRule>
    <cfRule type="expression" dxfId="8" priority="9" stopIfTrue="1">
      <formula>BF105=$AB$18</formula>
    </cfRule>
  </conditionalFormatting>
  <conditionalFormatting sqref="AB105">
    <cfRule type="expression" dxfId="7" priority="10">
      <formula>AND(BF105&gt;=$AV$19,BF105&lt;=$AV$20)</formula>
    </cfRule>
  </conditionalFormatting>
  <conditionalFormatting sqref="AC105">
    <cfRule type="expression" dxfId="6" priority="6" stopIfTrue="1">
      <formula>BG105=$AB$18</formula>
    </cfRule>
  </conditionalFormatting>
  <conditionalFormatting sqref="AC105">
    <cfRule type="expression" dxfId="5" priority="7">
      <formula>AND(BG105&gt;=$AV$19,BG105&lt;=$AV$20)</formula>
    </cfRule>
  </conditionalFormatting>
  <conditionalFormatting sqref="AB105">
    <cfRule type="expression" dxfId="4" priority="3" stopIfTrue="1">
      <formula>AB105&amp;AC105=$AA$18&amp;$AB$18</formula>
    </cfRule>
    <cfRule type="expression" dxfId="3" priority="4" stopIfTrue="1">
      <formula>BF105=$AB$18</formula>
    </cfRule>
  </conditionalFormatting>
  <conditionalFormatting sqref="AB105">
    <cfRule type="expression" dxfId="2" priority="5">
      <formula>AND(BF105&gt;=$AV$19,BF105&lt;=$AV$20)</formula>
    </cfRule>
  </conditionalFormatting>
  <conditionalFormatting sqref="AC105">
    <cfRule type="expression" dxfId="1" priority="1" stopIfTrue="1">
      <formula>BG105=$AB$18</formula>
    </cfRule>
  </conditionalFormatting>
  <conditionalFormatting sqref="AC105">
    <cfRule type="expression" dxfId="0" priority="2">
      <formula>AND(BG105&gt;=$AV$19,BG105&lt;=$AV$20)</formula>
    </cfRule>
  </conditionalFormatting>
  <dataValidations count="6">
    <dataValidation allowBlank="1" showInputMessage="1" showErrorMessage="1" error="Woah! Number must be between 2005 and 2050!" sqref="AG20:AG39"/>
    <dataValidation type="whole" allowBlank="1" showInputMessage="1" showErrorMessage="1" error="Sorry, Please enter a number_x000a_ between 1980 and 2050!" sqref="S23:S88 AC23:AC88 U23:U88 W23:W88 AA23:AA88 Y23:Y88 AC90:AC109">
      <formula1>1980</formula1>
      <formula2>2050</formula2>
    </dataValidation>
    <dataValidation type="textLength" operator="lessThan" allowBlank="1" showInputMessage="1" showErrorMessage="1" error="Please enter information only in the leftmost column." sqref="R90:AA109">
      <formula1>1</formula1>
    </dataValidation>
    <dataValidation type="list" allowBlank="1" showInputMessage="1" showErrorMessage="1" error="Sorry, Please enter a number_x000a_ between 2005 and 2050!" sqref="AB18:AC18">
      <formula1>List_Year_Progress</formula1>
    </dataValidation>
    <dataValidation type="list" allowBlank="1" showInputMessage="1" showErrorMessage="1" sqref="AA18">
      <formula1>Quarters4</formula1>
    </dataValidation>
    <dataValidation type="list" allowBlank="1" showInputMessage="1" showErrorMessage="1" error="Woah! I say again, between 1990 and 2050!" sqref="R23:R88 AB23:AB88 T23:T88 V23:V88 Z23:Z88 X23:X88 AB90:AB109">
      <formula1>Quarters5</formula1>
    </dataValidation>
  </dataValidations>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B1:EE156"/>
  <sheetViews>
    <sheetView workbookViewId="0">
      <selection activeCell="I40" sqref="I40"/>
    </sheetView>
  </sheetViews>
  <sheetFormatPr defaultRowHeight="12.75" x14ac:dyDescent="0.2"/>
  <cols>
    <col min="1" max="1" width="1.85546875" style="69" customWidth="1"/>
    <col min="2" max="133" width="5.5703125" style="69" customWidth="1"/>
    <col min="134" max="134" width="8.85546875" style="69"/>
    <col min="135" max="135" width="22.5703125" style="69" customWidth="1"/>
    <col min="136" max="256" width="8.85546875" style="69"/>
    <col min="257" max="257" width="1.85546875" style="69" customWidth="1"/>
    <col min="258" max="389" width="5.5703125" style="69" customWidth="1"/>
    <col min="390" max="390" width="8.85546875" style="69"/>
    <col min="391" max="391" width="22.5703125" style="69" customWidth="1"/>
    <col min="392" max="512" width="8.85546875" style="69"/>
    <col min="513" max="513" width="1.85546875" style="69" customWidth="1"/>
    <col min="514" max="645" width="5.5703125" style="69" customWidth="1"/>
    <col min="646" max="646" width="8.85546875" style="69"/>
    <col min="647" max="647" width="22.5703125" style="69" customWidth="1"/>
    <col min="648" max="768" width="8.85546875" style="69"/>
    <col min="769" max="769" width="1.85546875" style="69" customWidth="1"/>
    <col min="770" max="901" width="5.5703125" style="69" customWidth="1"/>
    <col min="902" max="902" width="8.85546875" style="69"/>
    <col min="903" max="903" width="22.5703125" style="69" customWidth="1"/>
    <col min="904" max="1024" width="8.85546875" style="69"/>
    <col min="1025" max="1025" width="1.85546875" style="69" customWidth="1"/>
    <col min="1026" max="1157" width="5.5703125" style="69" customWidth="1"/>
    <col min="1158" max="1158" width="8.85546875" style="69"/>
    <col min="1159" max="1159" width="22.5703125" style="69" customWidth="1"/>
    <col min="1160" max="1280" width="8.85546875" style="69"/>
    <col min="1281" max="1281" width="1.85546875" style="69" customWidth="1"/>
    <col min="1282" max="1413" width="5.5703125" style="69" customWidth="1"/>
    <col min="1414" max="1414" width="8.85546875" style="69"/>
    <col min="1415" max="1415" width="22.5703125" style="69" customWidth="1"/>
    <col min="1416" max="1536" width="8.85546875" style="69"/>
    <col min="1537" max="1537" width="1.85546875" style="69" customWidth="1"/>
    <col min="1538" max="1669" width="5.5703125" style="69" customWidth="1"/>
    <col min="1670" max="1670" width="8.85546875" style="69"/>
    <col min="1671" max="1671" width="22.5703125" style="69" customWidth="1"/>
    <col min="1672" max="1792" width="8.85546875" style="69"/>
    <col min="1793" max="1793" width="1.85546875" style="69" customWidth="1"/>
    <col min="1794" max="1925" width="5.5703125" style="69" customWidth="1"/>
    <col min="1926" max="1926" width="8.85546875" style="69"/>
    <col min="1927" max="1927" width="22.5703125" style="69" customWidth="1"/>
    <col min="1928" max="2048" width="8.85546875" style="69"/>
    <col min="2049" max="2049" width="1.85546875" style="69" customWidth="1"/>
    <col min="2050" max="2181" width="5.5703125" style="69" customWidth="1"/>
    <col min="2182" max="2182" width="8.85546875" style="69"/>
    <col min="2183" max="2183" width="22.5703125" style="69" customWidth="1"/>
    <col min="2184" max="2304" width="8.85546875" style="69"/>
    <col min="2305" max="2305" width="1.85546875" style="69" customWidth="1"/>
    <col min="2306" max="2437" width="5.5703125" style="69" customWidth="1"/>
    <col min="2438" max="2438" width="8.85546875" style="69"/>
    <col min="2439" max="2439" width="22.5703125" style="69" customWidth="1"/>
    <col min="2440" max="2560" width="8.85546875" style="69"/>
    <col min="2561" max="2561" width="1.85546875" style="69" customWidth="1"/>
    <col min="2562" max="2693" width="5.5703125" style="69" customWidth="1"/>
    <col min="2694" max="2694" width="8.85546875" style="69"/>
    <col min="2695" max="2695" width="22.5703125" style="69" customWidth="1"/>
    <col min="2696" max="2816" width="8.85546875" style="69"/>
    <col min="2817" max="2817" width="1.85546875" style="69" customWidth="1"/>
    <col min="2818" max="2949" width="5.5703125" style="69" customWidth="1"/>
    <col min="2950" max="2950" width="8.85546875" style="69"/>
    <col min="2951" max="2951" width="22.5703125" style="69" customWidth="1"/>
    <col min="2952" max="3072" width="8.85546875" style="69"/>
    <col min="3073" max="3073" width="1.85546875" style="69" customWidth="1"/>
    <col min="3074" max="3205" width="5.5703125" style="69" customWidth="1"/>
    <col min="3206" max="3206" width="8.85546875" style="69"/>
    <col min="3207" max="3207" width="22.5703125" style="69" customWidth="1"/>
    <col min="3208" max="3328" width="8.85546875" style="69"/>
    <col min="3329" max="3329" width="1.85546875" style="69" customWidth="1"/>
    <col min="3330" max="3461" width="5.5703125" style="69" customWidth="1"/>
    <col min="3462" max="3462" width="8.85546875" style="69"/>
    <col min="3463" max="3463" width="22.5703125" style="69" customWidth="1"/>
    <col min="3464" max="3584" width="8.85546875" style="69"/>
    <col min="3585" max="3585" width="1.85546875" style="69" customWidth="1"/>
    <col min="3586" max="3717" width="5.5703125" style="69" customWidth="1"/>
    <col min="3718" max="3718" width="8.85546875" style="69"/>
    <col min="3719" max="3719" width="22.5703125" style="69" customWidth="1"/>
    <col min="3720" max="3840" width="8.85546875" style="69"/>
    <col min="3841" max="3841" width="1.85546875" style="69" customWidth="1"/>
    <col min="3842" max="3973" width="5.5703125" style="69" customWidth="1"/>
    <col min="3974" max="3974" width="8.85546875" style="69"/>
    <col min="3975" max="3975" width="22.5703125" style="69" customWidth="1"/>
    <col min="3976" max="4096" width="8.85546875" style="69"/>
    <col min="4097" max="4097" width="1.85546875" style="69" customWidth="1"/>
    <col min="4098" max="4229" width="5.5703125" style="69" customWidth="1"/>
    <col min="4230" max="4230" width="8.85546875" style="69"/>
    <col min="4231" max="4231" width="22.5703125" style="69" customWidth="1"/>
    <col min="4232" max="4352" width="8.85546875" style="69"/>
    <col min="4353" max="4353" width="1.85546875" style="69" customWidth="1"/>
    <col min="4354" max="4485" width="5.5703125" style="69" customWidth="1"/>
    <col min="4486" max="4486" width="8.85546875" style="69"/>
    <col min="4487" max="4487" width="22.5703125" style="69" customWidth="1"/>
    <col min="4488" max="4608" width="8.85546875" style="69"/>
    <col min="4609" max="4609" width="1.85546875" style="69" customWidth="1"/>
    <col min="4610" max="4741" width="5.5703125" style="69" customWidth="1"/>
    <col min="4742" max="4742" width="8.85546875" style="69"/>
    <col min="4743" max="4743" width="22.5703125" style="69" customWidth="1"/>
    <col min="4744" max="4864" width="8.85546875" style="69"/>
    <col min="4865" max="4865" width="1.85546875" style="69" customWidth="1"/>
    <col min="4866" max="4997" width="5.5703125" style="69" customWidth="1"/>
    <col min="4998" max="4998" width="8.85546875" style="69"/>
    <col min="4999" max="4999" width="22.5703125" style="69" customWidth="1"/>
    <col min="5000" max="5120" width="8.85546875" style="69"/>
    <col min="5121" max="5121" width="1.85546875" style="69" customWidth="1"/>
    <col min="5122" max="5253" width="5.5703125" style="69" customWidth="1"/>
    <col min="5254" max="5254" width="8.85546875" style="69"/>
    <col min="5255" max="5255" width="22.5703125" style="69" customWidth="1"/>
    <col min="5256" max="5376" width="8.85546875" style="69"/>
    <col min="5377" max="5377" width="1.85546875" style="69" customWidth="1"/>
    <col min="5378" max="5509" width="5.5703125" style="69" customWidth="1"/>
    <col min="5510" max="5510" width="8.85546875" style="69"/>
    <col min="5511" max="5511" width="22.5703125" style="69" customWidth="1"/>
    <col min="5512" max="5632" width="8.85546875" style="69"/>
    <col min="5633" max="5633" width="1.85546875" style="69" customWidth="1"/>
    <col min="5634" max="5765" width="5.5703125" style="69" customWidth="1"/>
    <col min="5766" max="5766" width="8.85546875" style="69"/>
    <col min="5767" max="5767" width="22.5703125" style="69" customWidth="1"/>
    <col min="5768" max="5888" width="8.85546875" style="69"/>
    <col min="5889" max="5889" width="1.85546875" style="69" customWidth="1"/>
    <col min="5890" max="6021" width="5.5703125" style="69" customWidth="1"/>
    <col min="6022" max="6022" width="8.85546875" style="69"/>
    <col min="6023" max="6023" width="22.5703125" style="69" customWidth="1"/>
    <col min="6024" max="6144" width="8.85546875" style="69"/>
    <col min="6145" max="6145" width="1.85546875" style="69" customWidth="1"/>
    <col min="6146" max="6277" width="5.5703125" style="69" customWidth="1"/>
    <col min="6278" max="6278" width="8.85546875" style="69"/>
    <col min="6279" max="6279" width="22.5703125" style="69" customWidth="1"/>
    <col min="6280" max="6400" width="8.85546875" style="69"/>
    <col min="6401" max="6401" width="1.85546875" style="69" customWidth="1"/>
    <col min="6402" max="6533" width="5.5703125" style="69" customWidth="1"/>
    <col min="6534" max="6534" width="8.85546875" style="69"/>
    <col min="6535" max="6535" width="22.5703125" style="69" customWidth="1"/>
    <col min="6536" max="6656" width="8.85546875" style="69"/>
    <col min="6657" max="6657" width="1.85546875" style="69" customWidth="1"/>
    <col min="6658" max="6789" width="5.5703125" style="69" customWidth="1"/>
    <col min="6790" max="6790" width="8.85546875" style="69"/>
    <col min="6791" max="6791" width="22.5703125" style="69" customWidth="1"/>
    <col min="6792" max="6912" width="8.85546875" style="69"/>
    <col min="6913" max="6913" width="1.85546875" style="69" customWidth="1"/>
    <col min="6914" max="7045" width="5.5703125" style="69" customWidth="1"/>
    <col min="7046" max="7046" width="8.85546875" style="69"/>
    <col min="7047" max="7047" width="22.5703125" style="69" customWidth="1"/>
    <col min="7048" max="7168" width="8.85546875" style="69"/>
    <col min="7169" max="7169" width="1.85546875" style="69" customWidth="1"/>
    <col min="7170" max="7301" width="5.5703125" style="69" customWidth="1"/>
    <col min="7302" max="7302" width="8.85546875" style="69"/>
    <col min="7303" max="7303" width="22.5703125" style="69" customWidth="1"/>
    <col min="7304" max="7424" width="8.85546875" style="69"/>
    <col min="7425" max="7425" width="1.85546875" style="69" customWidth="1"/>
    <col min="7426" max="7557" width="5.5703125" style="69" customWidth="1"/>
    <col min="7558" max="7558" width="8.85546875" style="69"/>
    <col min="7559" max="7559" width="22.5703125" style="69" customWidth="1"/>
    <col min="7560" max="7680" width="8.85546875" style="69"/>
    <col min="7681" max="7681" width="1.85546875" style="69" customWidth="1"/>
    <col min="7682" max="7813" width="5.5703125" style="69" customWidth="1"/>
    <col min="7814" max="7814" width="8.85546875" style="69"/>
    <col min="7815" max="7815" width="22.5703125" style="69" customWidth="1"/>
    <col min="7816" max="7936" width="8.85546875" style="69"/>
    <col min="7937" max="7937" width="1.85546875" style="69" customWidth="1"/>
    <col min="7938" max="8069" width="5.5703125" style="69" customWidth="1"/>
    <col min="8070" max="8070" width="8.85546875" style="69"/>
    <col min="8071" max="8071" width="22.5703125" style="69" customWidth="1"/>
    <col min="8072" max="8192" width="8.85546875" style="69"/>
    <col min="8193" max="8193" width="1.85546875" style="69" customWidth="1"/>
    <col min="8194" max="8325" width="5.5703125" style="69" customWidth="1"/>
    <col min="8326" max="8326" width="8.85546875" style="69"/>
    <col min="8327" max="8327" width="22.5703125" style="69" customWidth="1"/>
    <col min="8328" max="8448" width="8.85546875" style="69"/>
    <col min="8449" max="8449" width="1.85546875" style="69" customWidth="1"/>
    <col min="8450" max="8581" width="5.5703125" style="69" customWidth="1"/>
    <col min="8582" max="8582" width="8.85546875" style="69"/>
    <col min="8583" max="8583" width="22.5703125" style="69" customWidth="1"/>
    <col min="8584" max="8704" width="8.85546875" style="69"/>
    <col min="8705" max="8705" width="1.85546875" style="69" customWidth="1"/>
    <col min="8706" max="8837" width="5.5703125" style="69" customWidth="1"/>
    <col min="8838" max="8838" width="8.85546875" style="69"/>
    <col min="8839" max="8839" width="22.5703125" style="69" customWidth="1"/>
    <col min="8840" max="8960" width="8.85546875" style="69"/>
    <col min="8961" max="8961" width="1.85546875" style="69" customWidth="1"/>
    <col min="8962" max="9093" width="5.5703125" style="69" customWidth="1"/>
    <col min="9094" max="9094" width="8.85546875" style="69"/>
    <col min="9095" max="9095" width="22.5703125" style="69" customWidth="1"/>
    <col min="9096" max="9216" width="8.85546875" style="69"/>
    <col min="9217" max="9217" width="1.85546875" style="69" customWidth="1"/>
    <col min="9218" max="9349" width="5.5703125" style="69" customWidth="1"/>
    <col min="9350" max="9350" width="8.85546875" style="69"/>
    <col min="9351" max="9351" width="22.5703125" style="69" customWidth="1"/>
    <col min="9352" max="9472" width="8.85546875" style="69"/>
    <col min="9473" max="9473" width="1.85546875" style="69" customWidth="1"/>
    <col min="9474" max="9605" width="5.5703125" style="69" customWidth="1"/>
    <col min="9606" max="9606" width="8.85546875" style="69"/>
    <col min="9607" max="9607" width="22.5703125" style="69" customWidth="1"/>
    <col min="9608" max="9728" width="8.85546875" style="69"/>
    <col min="9729" max="9729" width="1.85546875" style="69" customWidth="1"/>
    <col min="9730" max="9861" width="5.5703125" style="69" customWidth="1"/>
    <col min="9862" max="9862" width="8.85546875" style="69"/>
    <col min="9863" max="9863" width="22.5703125" style="69" customWidth="1"/>
    <col min="9864" max="9984" width="8.85546875" style="69"/>
    <col min="9985" max="9985" width="1.85546875" style="69" customWidth="1"/>
    <col min="9986" max="10117" width="5.5703125" style="69" customWidth="1"/>
    <col min="10118" max="10118" width="8.85546875" style="69"/>
    <col min="10119" max="10119" width="22.5703125" style="69" customWidth="1"/>
    <col min="10120" max="10240" width="8.85546875" style="69"/>
    <col min="10241" max="10241" width="1.85546875" style="69" customWidth="1"/>
    <col min="10242" max="10373" width="5.5703125" style="69" customWidth="1"/>
    <col min="10374" max="10374" width="8.85546875" style="69"/>
    <col min="10375" max="10375" width="22.5703125" style="69" customWidth="1"/>
    <col min="10376" max="10496" width="8.85546875" style="69"/>
    <col min="10497" max="10497" width="1.85546875" style="69" customWidth="1"/>
    <col min="10498" max="10629" width="5.5703125" style="69" customWidth="1"/>
    <col min="10630" max="10630" width="8.85546875" style="69"/>
    <col min="10631" max="10631" width="22.5703125" style="69" customWidth="1"/>
    <col min="10632" max="10752" width="8.85546875" style="69"/>
    <col min="10753" max="10753" width="1.85546875" style="69" customWidth="1"/>
    <col min="10754" max="10885" width="5.5703125" style="69" customWidth="1"/>
    <col min="10886" max="10886" width="8.85546875" style="69"/>
    <col min="10887" max="10887" width="22.5703125" style="69" customWidth="1"/>
    <col min="10888" max="11008" width="8.85546875" style="69"/>
    <col min="11009" max="11009" width="1.85546875" style="69" customWidth="1"/>
    <col min="11010" max="11141" width="5.5703125" style="69" customWidth="1"/>
    <col min="11142" max="11142" width="8.85546875" style="69"/>
    <col min="11143" max="11143" width="22.5703125" style="69" customWidth="1"/>
    <col min="11144" max="11264" width="8.85546875" style="69"/>
    <col min="11265" max="11265" width="1.85546875" style="69" customWidth="1"/>
    <col min="11266" max="11397" width="5.5703125" style="69" customWidth="1"/>
    <col min="11398" max="11398" width="8.85546875" style="69"/>
    <col min="11399" max="11399" width="22.5703125" style="69" customWidth="1"/>
    <col min="11400" max="11520" width="8.85546875" style="69"/>
    <col min="11521" max="11521" width="1.85546875" style="69" customWidth="1"/>
    <col min="11522" max="11653" width="5.5703125" style="69" customWidth="1"/>
    <col min="11654" max="11654" width="8.85546875" style="69"/>
    <col min="11655" max="11655" width="22.5703125" style="69" customWidth="1"/>
    <col min="11656" max="11776" width="8.85546875" style="69"/>
    <col min="11777" max="11777" width="1.85546875" style="69" customWidth="1"/>
    <col min="11778" max="11909" width="5.5703125" style="69" customWidth="1"/>
    <col min="11910" max="11910" width="8.85546875" style="69"/>
    <col min="11911" max="11911" width="22.5703125" style="69" customWidth="1"/>
    <col min="11912" max="12032" width="8.85546875" style="69"/>
    <col min="12033" max="12033" width="1.85546875" style="69" customWidth="1"/>
    <col min="12034" max="12165" width="5.5703125" style="69" customWidth="1"/>
    <col min="12166" max="12166" width="8.85546875" style="69"/>
    <col min="12167" max="12167" width="22.5703125" style="69" customWidth="1"/>
    <col min="12168" max="12288" width="8.85546875" style="69"/>
    <col min="12289" max="12289" width="1.85546875" style="69" customWidth="1"/>
    <col min="12290" max="12421" width="5.5703125" style="69" customWidth="1"/>
    <col min="12422" max="12422" width="8.85546875" style="69"/>
    <col min="12423" max="12423" width="22.5703125" style="69" customWidth="1"/>
    <col min="12424" max="12544" width="8.85546875" style="69"/>
    <col min="12545" max="12545" width="1.85546875" style="69" customWidth="1"/>
    <col min="12546" max="12677" width="5.5703125" style="69" customWidth="1"/>
    <col min="12678" max="12678" width="8.85546875" style="69"/>
    <col min="12679" max="12679" width="22.5703125" style="69" customWidth="1"/>
    <col min="12680" max="12800" width="8.85546875" style="69"/>
    <col min="12801" max="12801" width="1.85546875" style="69" customWidth="1"/>
    <col min="12802" max="12933" width="5.5703125" style="69" customWidth="1"/>
    <col min="12934" max="12934" width="8.85546875" style="69"/>
    <col min="12935" max="12935" width="22.5703125" style="69" customWidth="1"/>
    <col min="12936" max="13056" width="8.85546875" style="69"/>
    <col min="13057" max="13057" width="1.85546875" style="69" customWidth="1"/>
    <col min="13058" max="13189" width="5.5703125" style="69" customWidth="1"/>
    <col min="13190" max="13190" width="8.85546875" style="69"/>
    <col min="13191" max="13191" width="22.5703125" style="69" customWidth="1"/>
    <col min="13192" max="13312" width="8.85546875" style="69"/>
    <col min="13313" max="13313" width="1.85546875" style="69" customWidth="1"/>
    <col min="13314" max="13445" width="5.5703125" style="69" customWidth="1"/>
    <col min="13446" max="13446" width="8.85546875" style="69"/>
    <col min="13447" max="13447" width="22.5703125" style="69" customWidth="1"/>
    <col min="13448" max="13568" width="8.85546875" style="69"/>
    <col min="13569" max="13569" width="1.85546875" style="69" customWidth="1"/>
    <col min="13570" max="13701" width="5.5703125" style="69" customWidth="1"/>
    <col min="13702" max="13702" width="8.85546875" style="69"/>
    <col min="13703" max="13703" width="22.5703125" style="69" customWidth="1"/>
    <col min="13704" max="13824" width="8.85546875" style="69"/>
    <col min="13825" max="13825" width="1.85546875" style="69" customWidth="1"/>
    <col min="13826" max="13957" width="5.5703125" style="69" customWidth="1"/>
    <col min="13958" max="13958" width="8.85546875" style="69"/>
    <col min="13959" max="13959" width="22.5703125" style="69" customWidth="1"/>
    <col min="13960" max="14080" width="8.85546875" style="69"/>
    <col min="14081" max="14081" width="1.85546875" style="69" customWidth="1"/>
    <col min="14082" max="14213" width="5.5703125" style="69" customWidth="1"/>
    <col min="14214" max="14214" width="8.85546875" style="69"/>
    <col min="14215" max="14215" width="22.5703125" style="69" customWidth="1"/>
    <col min="14216" max="14336" width="8.85546875" style="69"/>
    <col min="14337" max="14337" width="1.85546875" style="69" customWidth="1"/>
    <col min="14338" max="14469" width="5.5703125" style="69" customWidth="1"/>
    <col min="14470" max="14470" width="8.85546875" style="69"/>
    <col min="14471" max="14471" width="22.5703125" style="69" customWidth="1"/>
    <col min="14472" max="14592" width="8.85546875" style="69"/>
    <col min="14593" max="14593" width="1.85546875" style="69" customWidth="1"/>
    <col min="14594" max="14725" width="5.5703125" style="69" customWidth="1"/>
    <col min="14726" max="14726" width="8.85546875" style="69"/>
    <col min="14727" max="14727" width="22.5703125" style="69" customWidth="1"/>
    <col min="14728" max="14848" width="8.85546875" style="69"/>
    <col min="14849" max="14849" width="1.85546875" style="69" customWidth="1"/>
    <col min="14850" max="14981" width="5.5703125" style="69" customWidth="1"/>
    <col min="14982" max="14982" width="8.85546875" style="69"/>
    <col min="14983" max="14983" width="22.5703125" style="69" customWidth="1"/>
    <col min="14984" max="15104" width="8.85546875" style="69"/>
    <col min="15105" max="15105" width="1.85546875" style="69" customWidth="1"/>
    <col min="15106" max="15237" width="5.5703125" style="69" customWidth="1"/>
    <col min="15238" max="15238" width="8.85546875" style="69"/>
    <col min="15239" max="15239" width="22.5703125" style="69" customWidth="1"/>
    <col min="15240" max="15360" width="8.85546875" style="69"/>
    <col min="15361" max="15361" width="1.85546875" style="69" customWidth="1"/>
    <col min="15362" max="15493" width="5.5703125" style="69" customWidth="1"/>
    <col min="15494" max="15494" width="8.85546875" style="69"/>
    <col min="15495" max="15495" width="22.5703125" style="69" customWidth="1"/>
    <col min="15496" max="15616" width="8.85546875" style="69"/>
    <col min="15617" max="15617" width="1.85546875" style="69" customWidth="1"/>
    <col min="15618" max="15749" width="5.5703125" style="69" customWidth="1"/>
    <col min="15750" max="15750" width="8.85546875" style="69"/>
    <col min="15751" max="15751" width="22.5703125" style="69" customWidth="1"/>
    <col min="15752" max="15872" width="8.85546875" style="69"/>
    <col min="15873" max="15873" width="1.85546875" style="69" customWidth="1"/>
    <col min="15874" max="16005" width="5.5703125" style="69" customWidth="1"/>
    <col min="16006" max="16006" width="8.85546875" style="69"/>
    <col min="16007" max="16007" width="22.5703125" style="69" customWidth="1"/>
    <col min="16008" max="16128" width="8.85546875" style="69"/>
    <col min="16129" max="16129" width="1.85546875" style="69" customWidth="1"/>
    <col min="16130" max="16261" width="5.5703125" style="69" customWidth="1"/>
    <col min="16262" max="16262" width="8.85546875" style="69"/>
    <col min="16263" max="16263" width="22.5703125" style="69" customWidth="1"/>
    <col min="16264" max="16384" width="8.85546875" style="69"/>
  </cols>
  <sheetData>
    <row r="1" spans="2:133" ht="13.9" thickBot="1" x14ac:dyDescent="0.3"/>
    <row r="2" spans="2:133" ht="28.5" customHeight="1" thickBot="1" x14ac:dyDescent="0.35">
      <c r="B2" s="621" t="s">
        <v>56</v>
      </c>
      <c r="C2" s="622"/>
      <c r="D2" s="622"/>
      <c r="E2" s="622"/>
      <c r="F2" s="622"/>
      <c r="G2" s="622"/>
      <c r="H2" s="622"/>
      <c r="I2" s="622"/>
      <c r="J2" s="622"/>
      <c r="K2" s="622"/>
      <c r="L2" s="622"/>
      <c r="M2" s="622"/>
      <c r="N2" s="329"/>
      <c r="O2" s="329"/>
      <c r="P2" s="329"/>
      <c r="Q2" s="329"/>
      <c r="R2" s="329"/>
      <c r="S2" s="329"/>
      <c r="T2" s="329"/>
      <c r="U2" s="329"/>
      <c r="V2" s="329"/>
      <c r="W2" s="329"/>
      <c r="X2" s="377"/>
      <c r="Y2" s="377"/>
      <c r="Z2" s="377"/>
      <c r="AA2" s="377"/>
      <c r="AB2" s="378"/>
    </row>
    <row r="3" spans="2:133" ht="18" thickBot="1" x14ac:dyDescent="0.35">
      <c r="B3" s="618" t="s">
        <v>57</v>
      </c>
      <c r="C3" s="619"/>
      <c r="D3" s="619"/>
      <c r="E3" s="619"/>
      <c r="F3" s="620"/>
      <c r="G3" s="70"/>
      <c r="H3" s="618" t="s">
        <v>58</v>
      </c>
      <c r="I3" s="619"/>
      <c r="J3" s="619"/>
      <c r="K3" s="619"/>
      <c r="L3" s="620"/>
      <c r="N3" s="623" t="s">
        <v>59</v>
      </c>
      <c r="O3" s="624"/>
      <c r="P3" s="625" t="s">
        <v>60</v>
      </c>
      <c r="Q3" s="626"/>
      <c r="R3" s="626"/>
      <c r="S3" s="626"/>
      <c r="T3" s="626"/>
      <c r="U3" s="626"/>
      <c r="V3" s="626"/>
      <c r="W3" s="626"/>
      <c r="X3" s="626"/>
      <c r="Y3" s="626"/>
      <c r="Z3" s="626"/>
      <c r="AA3" s="626"/>
      <c r="AB3" s="627"/>
      <c r="CB3" s="618" t="s">
        <v>61</v>
      </c>
      <c r="CC3" s="619"/>
      <c r="CD3" s="619"/>
      <c r="CE3" s="619"/>
      <c r="CF3" s="620"/>
    </row>
    <row r="4" spans="2:133" ht="6" customHeight="1" thickBot="1" x14ac:dyDescent="0.35">
      <c r="B4" s="71"/>
    </row>
    <row r="5" spans="2:133" ht="13.9" thickBot="1" x14ac:dyDescent="0.3">
      <c r="B5" s="628" t="s">
        <v>62</v>
      </c>
      <c r="C5" s="629"/>
      <c r="D5" s="628" t="s">
        <v>63</v>
      </c>
      <c r="E5" s="629"/>
      <c r="F5" s="628" t="s">
        <v>64</v>
      </c>
      <c r="G5" s="629"/>
      <c r="H5" s="628" t="s">
        <v>65</v>
      </c>
      <c r="I5" s="629"/>
      <c r="J5" s="628" t="s">
        <v>66</v>
      </c>
      <c r="K5" s="629"/>
      <c r="L5" s="628" t="s">
        <v>67</v>
      </c>
      <c r="M5" s="629"/>
      <c r="N5" s="628" t="s">
        <v>68</v>
      </c>
      <c r="O5" s="629"/>
      <c r="P5" s="628" t="s">
        <v>69</v>
      </c>
      <c r="Q5" s="629"/>
      <c r="R5" s="628" t="s">
        <v>70</v>
      </c>
      <c r="S5" s="629"/>
      <c r="T5" s="628" t="s">
        <v>71</v>
      </c>
      <c r="U5" s="629"/>
      <c r="V5" s="628" t="s">
        <v>72</v>
      </c>
      <c r="W5" s="629"/>
      <c r="X5" s="628" t="s">
        <v>73</v>
      </c>
      <c r="Y5" s="629"/>
      <c r="Z5" s="628" t="s">
        <v>74</v>
      </c>
      <c r="AA5" s="629"/>
      <c r="AB5" s="628" t="s">
        <v>75</v>
      </c>
      <c r="AC5" s="629"/>
      <c r="AD5" s="628" t="s">
        <v>76</v>
      </c>
      <c r="AE5" s="629"/>
      <c r="AF5" s="628" t="s">
        <v>77</v>
      </c>
      <c r="AG5" s="629"/>
      <c r="AH5" s="628" t="s">
        <v>78</v>
      </c>
      <c r="AI5" s="629"/>
      <c r="AJ5" s="628" t="s">
        <v>79</v>
      </c>
      <c r="AK5" s="629"/>
      <c r="AL5" s="628" t="s">
        <v>80</v>
      </c>
      <c r="AM5" s="629"/>
      <c r="AN5" s="628" t="s">
        <v>81</v>
      </c>
      <c r="AO5" s="629"/>
      <c r="AP5" s="628" t="s">
        <v>82</v>
      </c>
      <c r="AQ5" s="629"/>
      <c r="AR5" s="628" t="s">
        <v>83</v>
      </c>
      <c r="AS5" s="629"/>
      <c r="AT5" s="628" t="s">
        <v>84</v>
      </c>
      <c r="AU5" s="629"/>
      <c r="AV5" s="628" t="s">
        <v>85</v>
      </c>
      <c r="AW5" s="629"/>
      <c r="AX5" s="628" t="s">
        <v>86</v>
      </c>
      <c r="AY5" s="629"/>
      <c r="AZ5" s="628" t="s">
        <v>87</v>
      </c>
      <c r="BA5" s="629"/>
      <c r="BB5" s="628" t="s">
        <v>88</v>
      </c>
      <c r="BC5" s="629"/>
      <c r="BD5" s="628" t="s">
        <v>89</v>
      </c>
      <c r="BE5" s="629"/>
      <c r="BF5" s="628" t="s">
        <v>90</v>
      </c>
      <c r="BG5" s="629"/>
      <c r="BH5" s="628" t="s">
        <v>91</v>
      </c>
      <c r="BI5" s="629"/>
      <c r="BJ5" s="628" t="s">
        <v>92</v>
      </c>
      <c r="BK5" s="629"/>
      <c r="BL5" s="628" t="s">
        <v>93</v>
      </c>
      <c r="BM5" s="629"/>
      <c r="BN5" s="628" t="s">
        <v>94</v>
      </c>
      <c r="BO5" s="629"/>
      <c r="BP5" s="628" t="s">
        <v>95</v>
      </c>
      <c r="BQ5" s="629"/>
      <c r="BR5" s="628" t="s">
        <v>96</v>
      </c>
      <c r="BS5" s="629"/>
      <c r="BT5" s="628" t="s">
        <v>97</v>
      </c>
      <c r="BU5" s="629"/>
      <c r="BV5" s="628" t="s">
        <v>98</v>
      </c>
      <c r="BW5" s="629"/>
      <c r="BX5" s="628" t="s">
        <v>99</v>
      </c>
      <c r="BY5" s="629"/>
      <c r="BZ5" s="628" t="s">
        <v>100</v>
      </c>
      <c r="CA5" s="630"/>
      <c r="CB5" s="631" t="s">
        <v>101</v>
      </c>
      <c r="CC5" s="629"/>
      <c r="CD5" s="628" t="s">
        <v>102</v>
      </c>
      <c r="CE5" s="629"/>
      <c r="CF5" s="628" t="s">
        <v>103</v>
      </c>
      <c r="CG5" s="629"/>
      <c r="CH5" s="628" t="s">
        <v>104</v>
      </c>
      <c r="CI5" s="629"/>
      <c r="CJ5" s="628" t="s">
        <v>105</v>
      </c>
      <c r="CK5" s="629"/>
      <c r="CL5" s="628" t="s">
        <v>106</v>
      </c>
      <c r="CM5" s="629"/>
      <c r="CN5" s="628" t="s">
        <v>107</v>
      </c>
      <c r="CO5" s="629"/>
      <c r="CP5" s="628" t="s">
        <v>108</v>
      </c>
      <c r="CQ5" s="629"/>
      <c r="CR5" s="628" t="s">
        <v>109</v>
      </c>
      <c r="CS5" s="629"/>
      <c r="CT5" s="628" t="s">
        <v>110</v>
      </c>
      <c r="CU5" s="629"/>
      <c r="CV5" s="628" t="s">
        <v>111</v>
      </c>
      <c r="CW5" s="629"/>
      <c r="CX5" s="628" t="s">
        <v>112</v>
      </c>
      <c r="CY5" s="629"/>
      <c r="CZ5" s="628" t="s">
        <v>113</v>
      </c>
      <c r="DA5" s="629"/>
      <c r="DB5" s="628" t="s">
        <v>114</v>
      </c>
      <c r="DC5" s="629"/>
      <c r="DD5" s="628" t="s">
        <v>115</v>
      </c>
      <c r="DE5" s="629"/>
      <c r="DF5" s="628" t="s">
        <v>116</v>
      </c>
      <c r="DG5" s="629"/>
      <c r="DH5" s="628" t="s">
        <v>117</v>
      </c>
      <c r="DI5" s="629"/>
      <c r="DJ5" s="628" t="s">
        <v>118</v>
      </c>
      <c r="DK5" s="629"/>
      <c r="DL5" s="628" t="s">
        <v>119</v>
      </c>
      <c r="DM5" s="629"/>
      <c r="DN5" s="628" t="s">
        <v>120</v>
      </c>
      <c r="DO5" s="629"/>
      <c r="DP5" s="628" t="s">
        <v>121</v>
      </c>
      <c r="DQ5" s="629"/>
      <c r="DR5" s="628" t="s">
        <v>122</v>
      </c>
      <c r="DS5" s="629"/>
      <c r="DT5" s="628" t="s">
        <v>123</v>
      </c>
      <c r="DU5" s="629"/>
      <c r="DV5" s="628" t="s">
        <v>124</v>
      </c>
      <c r="DW5" s="629"/>
      <c r="DX5" s="628" t="s">
        <v>125</v>
      </c>
      <c r="DY5" s="629"/>
      <c r="DZ5" s="628" t="s">
        <v>126</v>
      </c>
      <c r="EA5" s="629"/>
      <c r="EB5" s="628" t="s">
        <v>127</v>
      </c>
      <c r="EC5" s="629"/>
    </row>
    <row r="6" spans="2:133" ht="13.15" x14ac:dyDescent="0.25">
      <c r="B6" s="72">
        <v>1</v>
      </c>
      <c r="C6" s="73">
        <v>31</v>
      </c>
      <c r="D6" s="72">
        <v>1</v>
      </c>
      <c r="E6" s="73">
        <v>22</v>
      </c>
      <c r="F6" s="72">
        <v>1</v>
      </c>
      <c r="G6" s="73">
        <v>17</v>
      </c>
      <c r="H6" s="72">
        <v>1</v>
      </c>
      <c r="I6" s="73">
        <v>54</v>
      </c>
      <c r="J6" s="72">
        <v>1</v>
      </c>
      <c r="K6" s="73">
        <v>46</v>
      </c>
      <c r="L6" s="72">
        <v>1</v>
      </c>
      <c r="M6" s="73">
        <v>18</v>
      </c>
      <c r="N6" s="72">
        <v>1</v>
      </c>
      <c r="O6" s="73">
        <v>36</v>
      </c>
      <c r="P6" s="72">
        <v>1</v>
      </c>
      <c r="Q6" s="73">
        <v>22</v>
      </c>
      <c r="R6" s="72">
        <v>1</v>
      </c>
      <c r="S6" s="73">
        <v>28</v>
      </c>
      <c r="T6" s="72">
        <v>1</v>
      </c>
      <c r="U6" s="73">
        <v>27</v>
      </c>
      <c r="V6" s="72">
        <v>1</v>
      </c>
      <c r="W6" s="73">
        <v>53</v>
      </c>
      <c r="X6" s="72">
        <v>1</v>
      </c>
      <c r="Y6" s="73">
        <v>18</v>
      </c>
      <c r="Z6" s="72">
        <v>1</v>
      </c>
      <c r="AA6" s="73">
        <v>54</v>
      </c>
      <c r="AB6" s="72">
        <v>1</v>
      </c>
      <c r="AC6" s="73">
        <v>17</v>
      </c>
      <c r="AD6" s="72">
        <v>1</v>
      </c>
      <c r="AE6" s="73">
        <v>11</v>
      </c>
      <c r="AF6" s="72">
        <v>1</v>
      </c>
      <c r="AG6" s="73">
        <v>11</v>
      </c>
      <c r="AH6" s="72">
        <v>1</v>
      </c>
      <c r="AI6" s="73">
        <v>22</v>
      </c>
      <c r="AJ6" s="72">
        <v>1</v>
      </c>
      <c r="AK6" s="73">
        <v>22</v>
      </c>
      <c r="AL6" s="72">
        <v>1</v>
      </c>
      <c r="AM6" s="73">
        <v>6</v>
      </c>
      <c r="AN6" s="72">
        <v>1</v>
      </c>
      <c r="AO6" s="73">
        <v>33</v>
      </c>
      <c r="AP6" s="72">
        <v>1</v>
      </c>
      <c r="AQ6" s="73">
        <v>18</v>
      </c>
      <c r="AR6" s="72">
        <v>1</v>
      </c>
      <c r="AS6" s="73">
        <v>17</v>
      </c>
      <c r="AT6" s="72">
        <v>1</v>
      </c>
      <c r="AU6" s="73">
        <v>31</v>
      </c>
      <c r="AV6" s="72">
        <v>1</v>
      </c>
      <c r="AW6" s="73">
        <v>19</v>
      </c>
      <c r="AX6" s="72">
        <v>1</v>
      </c>
      <c r="AY6" s="73">
        <v>22</v>
      </c>
      <c r="AZ6" s="72">
        <v>1</v>
      </c>
      <c r="BA6" s="73">
        <v>28</v>
      </c>
      <c r="BB6" s="72">
        <v>1</v>
      </c>
      <c r="BC6" s="73">
        <v>21</v>
      </c>
      <c r="BD6" s="72">
        <v>1</v>
      </c>
      <c r="BE6" s="73">
        <v>11</v>
      </c>
      <c r="BF6" s="72">
        <v>1</v>
      </c>
      <c r="BG6" s="73">
        <v>20</v>
      </c>
      <c r="BH6" s="72">
        <v>1</v>
      </c>
      <c r="BI6" s="73">
        <v>15</v>
      </c>
      <c r="BJ6" s="72">
        <v>1</v>
      </c>
      <c r="BK6" s="73">
        <v>21</v>
      </c>
      <c r="BL6" s="72">
        <v>1</v>
      </c>
      <c r="BM6" s="73">
        <v>17</v>
      </c>
      <c r="BN6" s="72">
        <v>1</v>
      </c>
      <c r="BO6" s="73">
        <v>16</v>
      </c>
      <c r="BP6" s="72">
        <v>1</v>
      </c>
      <c r="BQ6" s="73">
        <v>15</v>
      </c>
      <c r="BR6" s="72">
        <v>1</v>
      </c>
      <c r="BS6" s="73">
        <v>17</v>
      </c>
      <c r="BT6" s="72">
        <v>1</v>
      </c>
      <c r="BU6" s="73">
        <v>18</v>
      </c>
      <c r="BV6" s="72">
        <v>1</v>
      </c>
      <c r="BW6" s="73">
        <v>15</v>
      </c>
      <c r="BX6" s="72">
        <v>1</v>
      </c>
      <c r="BY6" s="73">
        <v>21</v>
      </c>
      <c r="BZ6" s="72">
        <v>1</v>
      </c>
      <c r="CA6" s="74">
        <v>14</v>
      </c>
      <c r="CB6" s="75">
        <v>1</v>
      </c>
      <c r="CC6" s="73">
        <v>25</v>
      </c>
      <c r="CD6" s="72">
        <v>1</v>
      </c>
      <c r="CE6" s="73">
        <v>45</v>
      </c>
      <c r="CF6" s="72">
        <v>1</v>
      </c>
      <c r="CG6" s="73">
        <v>80</v>
      </c>
      <c r="CH6" s="72">
        <v>1</v>
      </c>
      <c r="CI6" s="73">
        <v>51</v>
      </c>
      <c r="CJ6" s="72">
        <v>1</v>
      </c>
      <c r="CK6" s="73">
        <v>26</v>
      </c>
      <c r="CL6" s="72">
        <v>1</v>
      </c>
      <c r="CM6" s="73">
        <v>32</v>
      </c>
      <c r="CN6" s="72">
        <v>1</v>
      </c>
      <c r="CO6" s="73">
        <v>31</v>
      </c>
      <c r="CP6" s="72">
        <v>1</v>
      </c>
      <c r="CQ6" s="73">
        <v>24</v>
      </c>
      <c r="CR6" s="72">
        <v>1</v>
      </c>
      <c r="CS6" s="73">
        <v>24</v>
      </c>
      <c r="CT6" s="72">
        <v>1</v>
      </c>
      <c r="CU6" s="73">
        <v>23</v>
      </c>
      <c r="CV6" s="72">
        <v>1</v>
      </c>
      <c r="CW6" s="73">
        <v>30</v>
      </c>
      <c r="CX6" s="72">
        <v>1</v>
      </c>
      <c r="CY6" s="73">
        <v>29</v>
      </c>
      <c r="CZ6" s="72">
        <v>1</v>
      </c>
      <c r="DA6" s="73">
        <v>10</v>
      </c>
      <c r="DB6" s="72">
        <v>1</v>
      </c>
      <c r="DC6" s="73">
        <v>12</v>
      </c>
      <c r="DD6" s="72">
        <v>1</v>
      </c>
      <c r="DE6" s="73">
        <v>20</v>
      </c>
      <c r="DF6" s="72">
        <v>1</v>
      </c>
      <c r="DG6" s="73">
        <v>18</v>
      </c>
      <c r="DH6" s="72">
        <v>1</v>
      </c>
      <c r="DI6" s="73">
        <v>16</v>
      </c>
      <c r="DJ6" s="72">
        <v>1</v>
      </c>
      <c r="DK6" s="73">
        <v>25</v>
      </c>
      <c r="DL6" s="72">
        <v>1</v>
      </c>
      <c r="DM6" s="73">
        <v>14</v>
      </c>
      <c r="DN6" s="72">
        <v>1</v>
      </c>
      <c r="DO6" s="73">
        <v>27</v>
      </c>
      <c r="DP6" s="72">
        <v>1</v>
      </c>
      <c r="DQ6" s="73">
        <v>25</v>
      </c>
      <c r="DR6" s="72">
        <v>1</v>
      </c>
      <c r="DS6" s="73">
        <v>21</v>
      </c>
      <c r="DT6" s="72">
        <v>1</v>
      </c>
      <c r="DU6" s="73">
        <v>10</v>
      </c>
      <c r="DV6" s="72">
        <v>1</v>
      </c>
      <c r="DW6" s="73">
        <v>13</v>
      </c>
      <c r="DX6" s="72">
        <v>1</v>
      </c>
      <c r="DY6" s="73">
        <v>14</v>
      </c>
      <c r="DZ6" s="72">
        <v>1</v>
      </c>
      <c r="EA6" s="73">
        <v>25</v>
      </c>
      <c r="EB6" s="72">
        <v>1</v>
      </c>
      <c r="EC6" s="73">
        <v>20</v>
      </c>
    </row>
    <row r="7" spans="2:133" ht="13.15" x14ac:dyDescent="0.25">
      <c r="B7" s="72">
        <v>2</v>
      </c>
      <c r="C7" s="73">
        <v>25</v>
      </c>
      <c r="D7" s="72">
        <v>2</v>
      </c>
      <c r="E7" s="73">
        <v>25</v>
      </c>
      <c r="F7" s="72">
        <v>2</v>
      </c>
      <c r="G7" s="73">
        <v>16</v>
      </c>
      <c r="H7" s="72">
        <v>2</v>
      </c>
      <c r="I7" s="73">
        <v>34</v>
      </c>
      <c r="J7" s="72">
        <v>2</v>
      </c>
      <c r="K7" s="73">
        <v>37</v>
      </c>
      <c r="L7" s="72">
        <v>2</v>
      </c>
      <c r="M7" s="73">
        <v>24</v>
      </c>
      <c r="N7" s="72">
        <v>2</v>
      </c>
      <c r="O7" s="73">
        <v>23</v>
      </c>
      <c r="P7" s="72">
        <v>2</v>
      </c>
      <c r="Q7" s="73">
        <v>23</v>
      </c>
      <c r="R7" s="72">
        <v>2</v>
      </c>
      <c r="S7" s="73">
        <v>36</v>
      </c>
      <c r="T7" s="72">
        <v>2</v>
      </c>
      <c r="U7" s="73">
        <v>32</v>
      </c>
      <c r="V7" s="72">
        <v>2</v>
      </c>
      <c r="W7" s="73">
        <v>46</v>
      </c>
      <c r="X7" s="72">
        <v>2</v>
      </c>
      <c r="Y7" s="73">
        <v>25</v>
      </c>
      <c r="Z7" s="72">
        <v>2</v>
      </c>
      <c r="AA7" s="73">
        <v>55</v>
      </c>
      <c r="AB7" s="72">
        <v>2</v>
      </c>
      <c r="AC7" s="73">
        <v>18</v>
      </c>
      <c r="AD7" s="72">
        <v>2</v>
      </c>
      <c r="AE7" s="73">
        <v>70</v>
      </c>
      <c r="AF7" s="72">
        <v>2</v>
      </c>
      <c r="AG7" s="73">
        <v>20</v>
      </c>
      <c r="AH7" s="72">
        <v>2</v>
      </c>
      <c r="AI7" s="73">
        <v>23</v>
      </c>
      <c r="AJ7" s="72">
        <v>2</v>
      </c>
      <c r="AK7" s="73">
        <v>13</v>
      </c>
      <c r="AL7" s="72">
        <v>2</v>
      </c>
      <c r="AM7" s="73">
        <v>12</v>
      </c>
      <c r="AN7" s="72">
        <v>2</v>
      </c>
      <c r="AO7" s="73">
        <v>22</v>
      </c>
      <c r="AP7" s="72">
        <v>2</v>
      </c>
      <c r="AQ7" s="73">
        <v>26</v>
      </c>
      <c r="AR7" s="72">
        <v>2</v>
      </c>
      <c r="AS7" s="73">
        <v>17</v>
      </c>
      <c r="AT7" s="72">
        <v>2</v>
      </c>
      <c r="AU7" s="73">
        <v>22</v>
      </c>
      <c r="AV7" s="72">
        <v>2</v>
      </c>
      <c r="AW7" s="73">
        <v>37</v>
      </c>
      <c r="AX7" s="72">
        <v>2</v>
      </c>
      <c r="AY7" s="73">
        <v>22</v>
      </c>
      <c r="AZ7" s="72">
        <v>2</v>
      </c>
      <c r="BA7" s="73">
        <v>10</v>
      </c>
      <c r="BB7" s="72">
        <v>2</v>
      </c>
      <c r="BC7" s="73">
        <v>49</v>
      </c>
      <c r="BD7" s="72">
        <v>2</v>
      </c>
      <c r="BE7" s="73">
        <v>23</v>
      </c>
      <c r="BF7" s="72">
        <v>2</v>
      </c>
      <c r="BG7" s="73">
        <v>32</v>
      </c>
      <c r="BH7" s="72">
        <v>2</v>
      </c>
      <c r="BI7" s="73">
        <v>16</v>
      </c>
      <c r="BJ7" s="72"/>
      <c r="BK7" s="73"/>
      <c r="BL7" s="72">
        <v>2</v>
      </c>
      <c r="BM7" s="73">
        <v>10</v>
      </c>
      <c r="BN7" s="72">
        <v>2</v>
      </c>
      <c r="BO7" s="73">
        <v>13</v>
      </c>
      <c r="BP7" s="72">
        <v>2</v>
      </c>
      <c r="BQ7" s="73">
        <v>13</v>
      </c>
      <c r="BR7" s="72">
        <v>2</v>
      </c>
      <c r="BS7" s="73">
        <v>20</v>
      </c>
      <c r="BT7" s="72">
        <v>2</v>
      </c>
      <c r="BU7" s="73">
        <v>15</v>
      </c>
      <c r="BV7" s="72">
        <v>2</v>
      </c>
      <c r="BW7" s="73">
        <v>23</v>
      </c>
      <c r="BX7" s="72">
        <v>2</v>
      </c>
      <c r="BY7" s="73">
        <v>13</v>
      </c>
      <c r="BZ7" s="72">
        <v>2</v>
      </c>
      <c r="CA7" s="74">
        <v>17</v>
      </c>
      <c r="CB7" s="75">
        <v>2</v>
      </c>
      <c r="CC7" s="73">
        <v>23</v>
      </c>
      <c r="CD7" s="72">
        <v>2</v>
      </c>
      <c r="CE7" s="73">
        <v>28</v>
      </c>
      <c r="CF7" s="72">
        <v>2</v>
      </c>
      <c r="CG7" s="73">
        <v>52</v>
      </c>
      <c r="CH7" s="72">
        <v>2</v>
      </c>
      <c r="CI7" s="73">
        <v>25</v>
      </c>
      <c r="CJ7" s="72">
        <v>2</v>
      </c>
      <c r="CK7" s="73">
        <v>47</v>
      </c>
      <c r="CL7" s="72">
        <v>2</v>
      </c>
      <c r="CM7" s="73">
        <v>29</v>
      </c>
      <c r="CN7" s="72">
        <v>2</v>
      </c>
      <c r="CO7" s="73">
        <v>16</v>
      </c>
      <c r="CP7" s="72">
        <v>2</v>
      </c>
      <c r="CQ7" s="73">
        <v>17</v>
      </c>
      <c r="CR7" s="72">
        <v>2</v>
      </c>
      <c r="CS7" s="73">
        <v>21</v>
      </c>
      <c r="CT7" s="72">
        <v>2</v>
      </c>
      <c r="CU7" s="73">
        <v>22</v>
      </c>
      <c r="CV7" s="72">
        <v>2</v>
      </c>
      <c r="CW7" s="73">
        <v>30</v>
      </c>
      <c r="CX7" s="72">
        <v>2</v>
      </c>
      <c r="CY7" s="73">
        <v>23</v>
      </c>
      <c r="CZ7" s="72">
        <v>2</v>
      </c>
      <c r="DA7" s="73">
        <v>20</v>
      </c>
      <c r="DB7" s="72">
        <v>2</v>
      </c>
      <c r="DC7" s="73">
        <v>17</v>
      </c>
      <c r="DD7" s="72">
        <v>2</v>
      </c>
      <c r="DE7" s="73">
        <v>15</v>
      </c>
      <c r="DF7" s="72">
        <v>2</v>
      </c>
      <c r="DG7" s="73">
        <v>26</v>
      </c>
      <c r="DH7" s="72">
        <v>2</v>
      </c>
      <c r="DI7" s="73">
        <v>15</v>
      </c>
      <c r="DJ7" s="72"/>
      <c r="DK7" s="73"/>
      <c r="DL7" s="72">
        <v>2</v>
      </c>
      <c r="DM7" s="73">
        <v>18</v>
      </c>
      <c r="DN7" s="72">
        <v>2</v>
      </c>
      <c r="DO7" s="73">
        <v>26</v>
      </c>
      <c r="DP7" s="72">
        <v>2</v>
      </c>
      <c r="DQ7" s="73">
        <v>25</v>
      </c>
      <c r="DR7" s="72">
        <v>2</v>
      </c>
      <c r="DS7" s="73">
        <v>22</v>
      </c>
      <c r="DT7" s="72">
        <v>2</v>
      </c>
      <c r="DU7" s="73">
        <v>29</v>
      </c>
      <c r="DV7" s="72"/>
      <c r="DW7" s="73"/>
      <c r="DX7" s="72"/>
      <c r="DY7" s="73"/>
      <c r="DZ7" s="72"/>
      <c r="EA7" s="73"/>
      <c r="EB7" s="72">
        <v>2</v>
      </c>
      <c r="EC7" s="73">
        <v>29</v>
      </c>
    </row>
    <row r="8" spans="2:133" ht="13.15" x14ac:dyDescent="0.25">
      <c r="B8" s="72">
        <v>3</v>
      </c>
      <c r="C8" s="73">
        <v>24</v>
      </c>
      <c r="D8" s="72">
        <v>3</v>
      </c>
      <c r="E8" s="73">
        <v>22</v>
      </c>
      <c r="F8" s="72">
        <v>3</v>
      </c>
      <c r="G8" s="73">
        <v>17</v>
      </c>
      <c r="H8" s="72">
        <v>3</v>
      </c>
      <c r="I8" s="73">
        <v>51</v>
      </c>
      <c r="J8" s="72">
        <v>3</v>
      </c>
      <c r="K8" s="73">
        <v>29</v>
      </c>
      <c r="L8" s="72">
        <v>3</v>
      </c>
      <c r="M8" s="73">
        <v>17</v>
      </c>
      <c r="N8" s="72">
        <v>3</v>
      </c>
      <c r="O8" s="73">
        <v>31</v>
      </c>
      <c r="P8" s="72">
        <v>3</v>
      </c>
      <c r="Q8" s="73">
        <v>18</v>
      </c>
      <c r="R8" s="72">
        <v>3</v>
      </c>
      <c r="S8" s="73">
        <v>21</v>
      </c>
      <c r="T8" s="72">
        <v>3</v>
      </c>
      <c r="U8" s="73">
        <v>39</v>
      </c>
      <c r="V8" s="72">
        <v>3</v>
      </c>
      <c r="W8" s="73">
        <v>28</v>
      </c>
      <c r="X8" s="72">
        <v>3</v>
      </c>
      <c r="Y8" s="73">
        <v>27</v>
      </c>
      <c r="Z8" s="72">
        <v>3</v>
      </c>
      <c r="AA8" s="73">
        <v>24</v>
      </c>
      <c r="AB8" s="72">
        <v>3</v>
      </c>
      <c r="AC8" s="73">
        <v>17</v>
      </c>
      <c r="AD8" s="72">
        <v>3</v>
      </c>
      <c r="AE8" s="73">
        <v>13</v>
      </c>
      <c r="AF8" s="72">
        <v>3</v>
      </c>
      <c r="AG8" s="73">
        <v>32</v>
      </c>
      <c r="AH8" s="72">
        <v>3</v>
      </c>
      <c r="AI8" s="73">
        <v>15</v>
      </c>
      <c r="AJ8" s="72">
        <v>3</v>
      </c>
      <c r="AK8" s="73">
        <v>26</v>
      </c>
      <c r="AL8" s="72">
        <v>3</v>
      </c>
      <c r="AM8" s="73">
        <v>8</v>
      </c>
      <c r="AN8" s="72">
        <v>3</v>
      </c>
      <c r="AO8" s="73">
        <v>35</v>
      </c>
      <c r="AP8" s="72">
        <v>3</v>
      </c>
      <c r="AQ8" s="73">
        <v>22</v>
      </c>
      <c r="AR8" s="72">
        <v>3</v>
      </c>
      <c r="AS8" s="73">
        <v>11</v>
      </c>
      <c r="AT8" s="72">
        <v>3</v>
      </c>
      <c r="AU8" s="73">
        <v>26</v>
      </c>
      <c r="AV8" s="72">
        <v>3</v>
      </c>
      <c r="AW8" s="73">
        <v>25</v>
      </c>
      <c r="AX8" s="72">
        <v>3</v>
      </c>
      <c r="AY8" s="73">
        <v>66</v>
      </c>
      <c r="AZ8" s="72">
        <v>3</v>
      </c>
      <c r="BA8" s="73">
        <v>27</v>
      </c>
      <c r="BB8" s="72">
        <v>3</v>
      </c>
      <c r="BC8" s="73">
        <v>30</v>
      </c>
      <c r="BD8" s="72">
        <v>3</v>
      </c>
      <c r="BE8" s="73">
        <v>5</v>
      </c>
      <c r="BF8" s="72">
        <v>3</v>
      </c>
      <c r="BG8" s="73">
        <v>21</v>
      </c>
      <c r="BH8" s="72">
        <v>3</v>
      </c>
      <c r="BI8" s="73">
        <v>15</v>
      </c>
      <c r="BJ8" s="72"/>
      <c r="BK8" s="73"/>
      <c r="BL8" s="72">
        <v>3</v>
      </c>
      <c r="BM8" s="73">
        <v>10</v>
      </c>
      <c r="BN8" s="72">
        <v>3</v>
      </c>
      <c r="BO8" s="73">
        <v>12</v>
      </c>
      <c r="BP8" s="72">
        <v>3</v>
      </c>
      <c r="BQ8" s="73">
        <v>19</v>
      </c>
      <c r="BR8" s="72">
        <v>3</v>
      </c>
      <c r="BS8" s="73">
        <v>19</v>
      </c>
      <c r="BT8" s="72">
        <v>3</v>
      </c>
      <c r="BU8" s="73">
        <v>20</v>
      </c>
      <c r="BV8" s="72"/>
      <c r="BW8" s="73"/>
      <c r="BX8" s="72">
        <v>3</v>
      </c>
      <c r="BY8" s="73">
        <v>10</v>
      </c>
      <c r="BZ8" s="72">
        <v>3</v>
      </c>
      <c r="CA8" s="74">
        <v>18</v>
      </c>
      <c r="CB8" s="75">
        <v>3</v>
      </c>
      <c r="CC8" s="73">
        <v>17</v>
      </c>
      <c r="CD8" s="72">
        <v>3</v>
      </c>
      <c r="CE8" s="73">
        <v>35</v>
      </c>
      <c r="CF8" s="72">
        <v>3</v>
      </c>
      <c r="CG8" s="73">
        <v>38</v>
      </c>
      <c r="CH8" s="72">
        <v>3</v>
      </c>
      <c r="CI8" s="73">
        <v>36</v>
      </c>
      <c r="CJ8" s="72">
        <v>3</v>
      </c>
      <c r="CK8" s="73">
        <v>26</v>
      </c>
      <c r="CL8" s="72">
        <v>3</v>
      </c>
      <c r="CM8" s="73">
        <v>31</v>
      </c>
      <c r="CN8" s="72">
        <v>3</v>
      </c>
      <c r="CO8" s="73">
        <v>23</v>
      </c>
      <c r="CP8" s="72">
        <v>3</v>
      </c>
      <c r="CQ8" s="73">
        <v>18</v>
      </c>
      <c r="CR8" s="72">
        <v>3</v>
      </c>
      <c r="CS8" s="73">
        <v>29</v>
      </c>
      <c r="CT8" s="72">
        <v>3</v>
      </c>
      <c r="CU8" s="73">
        <v>21</v>
      </c>
      <c r="CV8" s="72">
        <v>3</v>
      </c>
      <c r="CW8" s="73">
        <v>21</v>
      </c>
      <c r="CX8" s="72">
        <v>3</v>
      </c>
      <c r="CY8" s="73">
        <v>25</v>
      </c>
      <c r="CZ8" s="72">
        <v>3</v>
      </c>
      <c r="DA8" s="73">
        <v>13</v>
      </c>
      <c r="DB8" s="72">
        <v>3</v>
      </c>
      <c r="DC8" s="73">
        <v>18</v>
      </c>
      <c r="DD8" s="72">
        <v>3</v>
      </c>
      <c r="DE8" s="73">
        <v>16</v>
      </c>
      <c r="DF8" s="72">
        <v>3</v>
      </c>
      <c r="DG8" s="73">
        <v>17</v>
      </c>
      <c r="DH8" s="72">
        <v>3</v>
      </c>
      <c r="DI8" s="73">
        <v>15</v>
      </c>
      <c r="DJ8" s="72"/>
      <c r="DK8" s="73"/>
      <c r="DL8" s="72">
        <v>3</v>
      </c>
      <c r="DM8" s="73">
        <v>19</v>
      </c>
      <c r="DN8" s="72">
        <v>3</v>
      </c>
      <c r="DO8" s="73">
        <v>18</v>
      </c>
      <c r="DP8" s="72">
        <v>3</v>
      </c>
      <c r="DQ8" s="73">
        <v>22</v>
      </c>
      <c r="DR8" s="72">
        <v>3</v>
      </c>
      <c r="DS8" s="73">
        <v>18</v>
      </c>
      <c r="DT8" s="72">
        <v>3</v>
      </c>
      <c r="DU8" s="73">
        <v>24</v>
      </c>
      <c r="DV8" s="72"/>
      <c r="DW8" s="73"/>
      <c r="DX8" s="72"/>
      <c r="DY8" s="73"/>
      <c r="DZ8" s="72"/>
      <c r="EA8" s="73"/>
      <c r="EB8" s="72">
        <v>3</v>
      </c>
      <c r="EC8" s="73">
        <v>22</v>
      </c>
    </row>
    <row r="9" spans="2:133" ht="13.15" x14ac:dyDescent="0.25">
      <c r="B9" s="72">
        <v>4</v>
      </c>
      <c r="C9" s="73">
        <v>26</v>
      </c>
      <c r="D9" s="72">
        <v>4</v>
      </c>
      <c r="E9" s="73">
        <v>31</v>
      </c>
      <c r="F9" s="72">
        <v>4</v>
      </c>
      <c r="G9" s="73">
        <v>35</v>
      </c>
      <c r="H9" s="72">
        <v>4</v>
      </c>
      <c r="I9" s="73">
        <v>49</v>
      </c>
      <c r="J9" s="72">
        <v>4</v>
      </c>
      <c r="K9" s="73">
        <v>49</v>
      </c>
      <c r="L9" s="72">
        <v>4</v>
      </c>
      <c r="M9" s="73">
        <v>24</v>
      </c>
      <c r="N9" s="72">
        <v>4</v>
      </c>
      <c r="O9" s="73">
        <v>24</v>
      </c>
      <c r="P9" s="72">
        <v>4</v>
      </c>
      <c r="Q9" s="73">
        <v>22</v>
      </c>
      <c r="R9" s="72">
        <v>4</v>
      </c>
      <c r="S9" s="73">
        <v>22</v>
      </c>
      <c r="T9" s="72">
        <v>4</v>
      </c>
      <c r="U9" s="73">
        <v>12</v>
      </c>
      <c r="V9" s="72">
        <v>4</v>
      </c>
      <c r="W9" s="73">
        <v>34</v>
      </c>
      <c r="X9" s="72">
        <v>4</v>
      </c>
      <c r="Y9" s="73">
        <v>44</v>
      </c>
      <c r="Z9" s="72">
        <v>4</v>
      </c>
      <c r="AA9" s="73">
        <v>43</v>
      </c>
      <c r="AB9" s="72">
        <v>4</v>
      </c>
      <c r="AC9" s="73">
        <v>22</v>
      </c>
      <c r="AD9" s="72">
        <v>4</v>
      </c>
      <c r="AE9" s="73">
        <v>24</v>
      </c>
      <c r="AF9" s="72">
        <v>4</v>
      </c>
      <c r="AG9" s="73">
        <v>23</v>
      </c>
      <c r="AH9" s="72">
        <v>4</v>
      </c>
      <c r="AI9" s="73">
        <v>17</v>
      </c>
      <c r="AJ9" s="72">
        <v>4</v>
      </c>
      <c r="AK9" s="73">
        <v>21</v>
      </c>
      <c r="AL9" s="72">
        <v>4</v>
      </c>
      <c r="AM9" s="73">
        <v>8</v>
      </c>
      <c r="AN9" s="72">
        <v>4</v>
      </c>
      <c r="AO9" s="73">
        <v>27</v>
      </c>
      <c r="AP9" s="72">
        <v>4</v>
      </c>
      <c r="AQ9" s="73">
        <v>16</v>
      </c>
      <c r="AR9" s="72">
        <v>4</v>
      </c>
      <c r="AS9" s="73">
        <v>16</v>
      </c>
      <c r="AT9" s="72">
        <v>4</v>
      </c>
      <c r="AU9" s="73">
        <v>6</v>
      </c>
      <c r="AV9" s="72">
        <v>4</v>
      </c>
      <c r="AW9" s="73">
        <v>31</v>
      </c>
      <c r="AX9" s="72">
        <v>4</v>
      </c>
      <c r="AY9" s="73">
        <v>22</v>
      </c>
      <c r="AZ9" s="72">
        <v>4</v>
      </c>
      <c r="BA9" s="73">
        <v>17</v>
      </c>
      <c r="BB9" s="72">
        <v>4</v>
      </c>
      <c r="BC9" s="73">
        <v>37</v>
      </c>
      <c r="BD9" s="72">
        <v>4</v>
      </c>
      <c r="BE9" s="73">
        <v>19</v>
      </c>
      <c r="BF9" s="72"/>
      <c r="BG9" s="73"/>
      <c r="BH9" s="72">
        <v>4</v>
      </c>
      <c r="BI9" s="73">
        <v>13</v>
      </c>
      <c r="BJ9" s="72"/>
      <c r="BK9" s="73"/>
      <c r="BL9" s="72">
        <v>4</v>
      </c>
      <c r="BM9" s="73">
        <v>11</v>
      </c>
      <c r="BN9" s="72">
        <v>4</v>
      </c>
      <c r="BO9" s="73">
        <v>13</v>
      </c>
      <c r="BP9" s="72"/>
      <c r="BQ9" s="73"/>
      <c r="BR9" s="72"/>
      <c r="BS9" s="73"/>
      <c r="BT9" s="72"/>
      <c r="BU9" s="73"/>
      <c r="BV9" s="72"/>
      <c r="BW9" s="73"/>
      <c r="BX9" s="72">
        <v>4</v>
      </c>
      <c r="BY9" s="73">
        <v>14</v>
      </c>
      <c r="BZ9" s="72">
        <v>4</v>
      </c>
      <c r="CA9" s="74">
        <v>6</v>
      </c>
      <c r="CB9" s="75">
        <v>4</v>
      </c>
      <c r="CC9" s="73">
        <v>25</v>
      </c>
      <c r="CD9" s="72">
        <v>4</v>
      </c>
      <c r="CE9" s="73">
        <v>41</v>
      </c>
      <c r="CF9" s="72">
        <v>4</v>
      </c>
      <c r="CG9" s="73">
        <v>44</v>
      </c>
      <c r="CH9" s="72">
        <v>4</v>
      </c>
      <c r="CI9" s="73">
        <v>54</v>
      </c>
      <c r="CJ9" s="72">
        <v>4</v>
      </c>
      <c r="CK9" s="73">
        <v>37</v>
      </c>
      <c r="CL9" s="72">
        <v>4</v>
      </c>
      <c r="CM9" s="73">
        <v>25</v>
      </c>
      <c r="CN9" s="72">
        <v>4</v>
      </c>
      <c r="CO9" s="73">
        <v>21</v>
      </c>
      <c r="CP9" s="72">
        <v>4</v>
      </c>
      <c r="CQ9" s="73">
        <v>18</v>
      </c>
      <c r="CR9" s="72">
        <v>4</v>
      </c>
      <c r="CS9" s="73">
        <v>31</v>
      </c>
      <c r="CT9" s="72">
        <v>4</v>
      </c>
      <c r="CU9" s="73">
        <v>32</v>
      </c>
      <c r="CV9" s="72">
        <v>4</v>
      </c>
      <c r="CW9" s="73">
        <v>23</v>
      </c>
      <c r="CX9" s="72">
        <v>4</v>
      </c>
      <c r="CY9" s="73">
        <v>18</v>
      </c>
      <c r="CZ9" s="72">
        <v>4</v>
      </c>
      <c r="DA9" s="73">
        <v>18</v>
      </c>
      <c r="DB9" s="72"/>
      <c r="DC9" s="73"/>
      <c r="DD9" s="72">
        <v>4</v>
      </c>
      <c r="DE9" s="73">
        <v>16</v>
      </c>
      <c r="DF9" s="72">
        <v>4</v>
      </c>
      <c r="DG9" s="73">
        <v>22</v>
      </c>
      <c r="DH9" s="72"/>
      <c r="DI9" s="73"/>
      <c r="DJ9" s="72"/>
      <c r="DK9" s="73"/>
      <c r="DL9" s="72">
        <v>4</v>
      </c>
      <c r="DM9" s="73">
        <v>16</v>
      </c>
      <c r="DN9" s="72">
        <v>4</v>
      </c>
      <c r="DO9" s="73">
        <v>17</v>
      </c>
      <c r="DP9" s="72">
        <v>4</v>
      </c>
      <c r="DQ9" s="73">
        <v>19</v>
      </c>
      <c r="DR9" s="72"/>
      <c r="DS9" s="73"/>
      <c r="DT9" s="72">
        <v>4</v>
      </c>
      <c r="DU9" s="73">
        <v>21</v>
      </c>
      <c r="DV9" s="72"/>
      <c r="DW9" s="73"/>
      <c r="DX9" s="72"/>
      <c r="DY9" s="73"/>
      <c r="DZ9" s="72"/>
      <c r="EA9" s="73"/>
      <c r="EB9" s="72">
        <v>4</v>
      </c>
      <c r="EC9" s="73">
        <v>11</v>
      </c>
    </row>
    <row r="10" spans="2:133" ht="13.15" x14ac:dyDescent="0.25">
      <c r="B10" s="72">
        <v>5</v>
      </c>
      <c r="C10" s="73">
        <v>32</v>
      </c>
      <c r="D10" s="72">
        <v>5</v>
      </c>
      <c r="E10" s="73">
        <v>23</v>
      </c>
      <c r="F10" s="72">
        <v>5</v>
      </c>
      <c r="G10" s="73">
        <v>19</v>
      </c>
      <c r="H10" s="72">
        <v>5</v>
      </c>
      <c r="I10" s="73">
        <v>31</v>
      </c>
      <c r="J10" s="72">
        <v>5</v>
      </c>
      <c r="K10" s="73">
        <v>33</v>
      </c>
      <c r="L10" s="72">
        <v>5</v>
      </c>
      <c r="M10" s="73">
        <v>15</v>
      </c>
      <c r="N10" s="72">
        <v>5</v>
      </c>
      <c r="O10" s="73">
        <v>31</v>
      </c>
      <c r="P10" s="72"/>
      <c r="Q10" s="73"/>
      <c r="R10" s="72">
        <v>5</v>
      </c>
      <c r="S10" s="73">
        <v>12</v>
      </c>
      <c r="T10" s="72">
        <v>5</v>
      </c>
      <c r="U10" s="73">
        <v>25</v>
      </c>
      <c r="V10" s="72">
        <v>5</v>
      </c>
      <c r="W10" s="73">
        <v>18</v>
      </c>
      <c r="X10" s="72">
        <v>5</v>
      </c>
      <c r="Y10" s="73">
        <v>27</v>
      </c>
      <c r="Z10" s="72">
        <v>5</v>
      </c>
      <c r="AA10" s="73">
        <v>26</v>
      </c>
      <c r="AB10" s="72">
        <v>5</v>
      </c>
      <c r="AC10" s="73">
        <v>14</v>
      </c>
      <c r="AD10" s="72">
        <v>5</v>
      </c>
      <c r="AE10" s="73">
        <v>17</v>
      </c>
      <c r="AF10" s="72">
        <v>5</v>
      </c>
      <c r="AG10" s="73">
        <v>19</v>
      </c>
      <c r="AH10" s="72">
        <v>5</v>
      </c>
      <c r="AI10" s="73">
        <v>14</v>
      </c>
      <c r="AJ10" s="72">
        <v>5</v>
      </c>
      <c r="AK10" s="73">
        <v>27</v>
      </c>
      <c r="AL10" s="72">
        <v>5</v>
      </c>
      <c r="AM10" s="73">
        <v>12</v>
      </c>
      <c r="AN10" s="72">
        <v>5</v>
      </c>
      <c r="AO10" s="73">
        <v>23</v>
      </c>
      <c r="AP10" s="72">
        <v>5</v>
      </c>
      <c r="AQ10" s="73">
        <v>20</v>
      </c>
      <c r="AR10" s="72">
        <v>5</v>
      </c>
      <c r="AS10" s="73">
        <v>16</v>
      </c>
      <c r="AT10" s="72">
        <v>5</v>
      </c>
      <c r="AU10" s="73">
        <v>30</v>
      </c>
      <c r="AV10" s="72">
        <v>5</v>
      </c>
      <c r="AW10" s="73">
        <v>31</v>
      </c>
      <c r="AX10" s="72">
        <v>5</v>
      </c>
      <c r="AY10" s="73">
        <v>22</v>
      </c>
      <c r="AZ10" s="72">
        <v>5</v>
      </c>
      <c r="BA10" s="73">
        <v>17</v>
      </c>
      <c r="BB10" s="72">
        <v>5</v>
      </c>
      <c r="BC10" s="73">
        <v>31</v>
      </c>
      <c r="BD10" s="72">
        <v>5</v>
      </c>
      <c r="BE10" s="73">
        <v>15</v>
      </c>
      <c r="BF10" s="72"/>
      <c r="BG10" s="73"/>
      <c r="BH10" s="72">
        <v>5</v>
      </c>
      <c r="BI10" s="73">
        <v>27</v>
      </c>
      <c r="BJ10" s="72"/>
      <c r="BK10" s="73"/>
      <c r="BL10" s="72"/>
      <c r="BM10" s="73"/>
      <c r="BN10" s="72">
        <v>5</v>
      </c>
      <c r="BO10" s="73">
        <v>15</v>
      </c>
      <c r="BP10" s="72"/>
      <c r="BQ10" s="73"/>
      <c r="BR10" s="72"/>
      <c r="BS10" s="73"/>
      <c r="BT10" s="72"/>
      <c r="BU10" s="73"/>
      <c r="BV10" s="72"/>
      <c r="BW10" s="73"/>
      <c r="BX10" s="72">
        <v>5</v>
      </c>
      <c r="BY10" s="73">
        <v>11</v>
      </c>
      <c r="BZ10" s="72"/>
      <c r="CA10" s="74"/>
      <c r="CB10" s="75">
        <v>5</v>
      </c>
      <c r="CC10" s="73">
        <v>48</v>
      </c>
      <c r="CD10" s="72">
        <v>5</v>
      </c>
      <c r="CE10" s="73">
        <v>43</v>
      </c>
      <c r="CF10" s="72">
        <v>5</v>
      </c>
      <c r="CG10" s="73">
        <v>39</v>
      </c>
      <c r="CH10" s="72">
        <v>5</v>
      </c>
      <c r="CI10" s="73">
        <v>47</v>
      </c>
      <c r="CJ10" s="72">
        <v>5</v>
      </c>
      <c r="CK10" s="73">
        <v>42</v>
      </c>
      <c r="CL10" s="72">
        <v>5</v>
      </c>
      <c r="CM10" s="73">
        <v>21</v>
      </c>
      <c r="CN10" s="72">
        <v>5</v>
      </c>
      <c r="CO10" s="73">
        <v>13</v>
      </c>
      <c r="CP10" s="72">
        <v>5</v>
      </c>
      <c r="CQ10" s="73">
        <v>21</v>
      </c>
      <c r="CR10" s="72">
        <v>5</v>
      </c>
      <c r="CS10" s="73">
        <v>26</v>
      </c>
      <c r="CT10" s="72">
        <v>5</v>
      </c>
      <c r="CU10" s="73">
        <v>33</v>
      </c>
      <c r="CV10" s="72"/>
      <c r="CW10" s="73"/>
      <c r="CX10" s="72"/>
      <c r="CY10" s="73"/>
      <c r="CZ10" s="72">
        <v>5</v>
      </c>
      <c r="DA10" s="73">
        <v>28</v>
      </c>
      <c r="DB10" s="72"/>
      <c r="DC10" s="73"/>
      <c r="DD10" s="72">
        <v>5</v>
      </c>
      <c r="DE10" s="73">
        <v>25</v>
      </c>
      <c r="DF10" s="72"/>
      <c r="DG10" s="73"/>
      <c r="DH10" s="72"/>
      <c r="DI10" s="73"/>
      <c r="DJ10" s="72"/>
      <c r="DK10" s="73"/>
      <c r="DL10" s="72">
        <v>5</v>
      </c>
      <c r="DM10" s="73">
        <v>14</v>
      </c>
      <c r="DN10" s="72">
        <v>5</v>
      </c>
      <c r="DO10" s="73">
        <v>20</v>
      </c>
      <c r="DP10" s="72">
        <v>5</v>
      </c>
      <c r="DQ10" s="73">
        <v>14</v>
      </c>
      <c r="DR10" s="72"/>
      <c r="DS10" s="73"/>
      <c r="DT10" s="72">
        <v>5</v>
      </c>
      <c r="DU10" s="73">
        <v>21</v>
      </c>
      <c r="DV10" s="72"/>
      <c r="DW10" s="73"/>
      <c r="DX10" s="72"/>
      <c r="DY10" s="73"/>
      <c r="DZ10" s="72"/>
      <c r="EA10" s="73"/>
      <c r="EB10" s="72">
        <v>5</v>
      </c>
      <c r="EC10" s="73">
        <v>14</v>
      </c>
    </row>
    <row r="11" spans="2:133" ht="13.15" x14ac:dyDescent="0.25">
      <c r="B11" s="72">
        <v>6</v>
      </c>
      <c r="C11" s="73">
        <v>22</v>
      </c>
      <c r="D11" s="72">
        <v>6</v>
      </c>
      <c r="E11" s="73">
        <v>30</v>
      </c>
      <c r="F11" s="72">
        <v>6</v>
      </c>
      <c r="G11" s="73">
        <v>30</v>
      </c>
      <c r="H11" s="72">
        <v>6</v>
      </c>
      <c r="I11" s="73">
        <v>27</v>
      </c>
      <c r="J11" s="72">
        <v>6</v>
      </c>
      <c r="K11" s="73">
        <v>25</v>
      </c>
      <c r="L11" s="72">
        <v>6</v>
      </c>
      <c r="M11" s="73">
        <v>27</v>
      </c>
      <c r="N11" s="72">
        <v>6</v>
      </c>
      <c r="O11" s="73">
        <v>40</v>
      </c>
      <c r="P11" s="72"/>
      <c r="Q11" s="73"/>
      <c r="R11" s="72">
        <v>6</v>
      </c>
      <c r="S11" s="73">
        <v>21</v>
      </c>
      <c r="T11" s="72">
        <v>6</v>
      </c>
      <c r="U11" s="73">
        <v>23</v>
      </c>
      <c r="V11" s="72">
        <v>6</v>
      </c>
      <c r="W11" s="73">
        <v>38</v>
      </c>
      <c r="X11" s="72">
        <v>6</v>
      </c>
      <c r="Y11" s="73">
        <v>33</v>
      </c>
      <c r="Z11" s="72">
        <v>6</v>
      </c>
      <c r="AA11" s="73">
        <v>81</v>
      </c>
      <c r="AB11" s="72">
        <v>6</v>
      </c>
      <c r="AC11" s="73">
        <v>42</v>
      </c>
      <c r="AD11" s="72">
        <v>6</v>
      </c>
      <c r="AE11" s="73">
        <v>22</v>
      </c>
      <c r="AF11" s="72">
        <v>6</v>
      </c>
      <c r="AG11" s="73">
        <v>19</v>
      </c>
      <c r="AH11" s="72">
        <v>6</v>
      </c>
      <c r="AI11" s="73">
        <v>14</v>
      </c>
      <c r="AJ11" s="72">
        <v>6</v>
      </c>
      <c r="AK11" s="73">
        <v>30</v>
      </c>
      <c r="AL11" s="72">
        <v>6</v>
      </c>
      <c r="AM11" s="73">
        <v>10</v>
      </c>
      <c r="AN11" s="72">
        <v>6</v>
      </c>
      <c r="AO11" s="73">
        <v>35</v>
      </c>
      <c r="AP11" s="72">
        <v>6</v>
      </c>
      <c r="AQ11" s="73">
        <v>12</v>
      </c>
      <c r="AR11" s="72">
        <v>6</v>
      </c>
      <c r="AS11" s="73">
        <v>13</v>
      </c>
      <c r="AT11" s="72">
        <v>6</v>
      </c>
      <c r="AU11" s="73">
        <v>13</v>
      </c>
      <c r="AV11" s="72">
        <v>6</v>
      </c>
      <c r="AW11" s="73">
        <v>30</v>
      </c>
      <c r="AX11" s="72"/>
      <c r="AY11" s="73"/>
      <c r="AZ11" s="72">
        <v>6</v>
      </c>
      <c r="BA11" s="73">
        <v>14</v>
      </c>
      <c r="BB11" s="72">
        <v>6</v>
      </c>
      <c r="BC11" s="73">
        <v>28</v>
      </c>
      <c r="BD11" s="72">
        <v>6</v>
      </c>
      <c r="BE11" s="73">
        <v>11</v>
      </c>
      <c r="BF11" s="72"/>
      <c r="BG11" s="73"/>
      <c r="BH11" s="72">
        <v>6</v>
      </c>
      <c r="BI11" s="73">
        <v>14</v>
      </c>
      <c r="BJ11" s="72"/>
      <c r="BK11" s="73"/>
      <c r="BL11" s="72"/>
      <c r="BM11" s="73"/>
      <c r="BN11" s="72">
        <v>6</v>
      </c>
      <c r="BO11" s="73">
        <v>16</v>
      </c>
      <c r="BP11" s="72"/>
      <c r="BQ11" s="73"/>
      <c r="BR11" s="72"/>
      <c r="BS11" s="73"/>
      <c r="BT11" s="72"/>
      <c r="BU11" s="73"/>
      <c r="BV11" s="72"/>
      <c r="BW11" s="73"/>
      <c r="BX11" s="72">
        <v>6</v>
      </c>
      <c r="BY11" s="73">
        <v>15</v>
      </c>
      <c r="BZ11" s="72"/>
      <c r="CA11" s="74"/>
      <c r="CB11" s="75">
        <v>6</v>
      </c>
      <c r="CC11" s="73">
        <v>34</v>
      </c>
      <c r="CD11" s="72">
        <v>6</v>
      </c>
      <c r="CE11" s="73">
        <v>56</v>
      </c>
      <c r="CF11" s="72">
        <v>6</v>
      </c>
      <c r="CG11" s="73">
        <v>49</v>
      </c>
      <c r="CH11" s="72">
        <v>6</v>
      </c>
      <c r="CI11" s="73">
        <v>71</v>
      </c>
      <c r="CJ11" s="72">
        <v>6</v>
      </c>
      <c r="CK11" s="73">
        <v>15</v>
      </c>
      <c r="CL11" s="72">
        <v>6</v>
      </c>
      <c r="CM11" s="73">
        <v>23</v>
      </c>
      <c r="CN11" s="72">
        <v>6</v>
      </c>
      <c r="CO11" s="73">
        <v>20</v>
      </c>
      <c r="CP11" s="72">
        <v>6</v>
      </c>
      <c r="CQ11" s="73">
        <v>18</v>
      </c>
      <c r="CR11" s="72">
        <v>6</v>
      </c>
      <c r="CS11" s="73">
        <v>18</v>
      </c>
      <c r="CT11" s="72">
        <v>6</v>
      </c>
      <c r="CU11" s="73">
        <v>24</v>
      </c>
      <c r="CV11" s="72"/>
      <c r="CW11" s="73"/>
      <c r="CX11" s="72"/>
      <c r="CY11" s="73"/>
      <c r="CZ11" s="72"/>
      <c r="DA11" s="73"/>
      <c r="DB11" s="72"/>
      <c r="DC11" s="73"/>
      <c r="DD11" s="72">
        <v>6</v>
      </c>
      <c r="DE11" s="73">
        <v>21</v>
      </c>
      <c r="DF11" s="72"/>
      <c r="DG11" s="73"/>
      <c r="DH11" s="72"/>
      <c r="DI11" s="73"/>
      <c r="DJ11" s="72"/>
      <c r="DK11" s="73"/>
      <c r="DL11" s="72">
        <v>6</v>
      </c>
      <c r="DM11" s="73">
        <v>20</v>
      </c>
      <c r="DN11" s="72"/>
      <c r="DO11" s="73"/>
      <c r="DP11" s="72"/>
      <c r="DQ11" s="73"/>
      <c r="DR11" s="72"/>
      <c r="DS11" s="73"/>
      <c r="DT11" s="72"/>
      <c r="DU11" s="73"/>
      <c r="DV11" s="72"/>
      <c r="DW11" s="73"/>
      <c r="DX11" s="72"/>
      <c r="DY11" s="73"/>
      <c r="DZ11" s="72"/>
      <c r="EA11" s="73"/>
      <c r="EB11" s="72">
        <v>6</v>
      </c>
      <c r="EC11" s="73">
        <v>17</v>
      </c>
    </row>
    <row r="12" spans="2:133" ht="13.15" x14ac:dyDescent="0.25">
      <c r="B12" s="72">
        <v>7</v>
      </c>
      <c r="C12" s="73">
        <v>24</v>
      </c>
      <c r="D12" s="72">
        <v>7</v>
      </c>
      <c r="E12" s="73">
        <v>25</v>
      </c>
      <c r="F12" s="72">
        <v>7</v>
      </c>
      <c r="G12" s="73">
        <v>38</v>
      </c>
      <c r="H12" s="72">
        <v>7</v>
      </c>
      <c r="I12" s="73">
        <v>89</v>
      </c>
      <c r="J12" s="72">
        <v>7</v>
      </c>
      <c r="K12" s="73">
        <v>26</v>
      </c>
      <c r="L12" s="72">
        <v>7</v>
      </c>
      <c r="M12" s="73">
        <v>26</v>
      </c>
      <c r="N12" s="72">
        <v>7</v>
      </c>
      <c r="O12" s="73">
        <v>25</v>
      </c>
      <c r="P12" s="72"/>
      <c r="Q12" s="73"/>
      <c r="R12" s="72">
        <v>7</v>
      </c>
      <c r="S12" s="73">
        <v>17</v>
      </c>
      <c r="T12" s="72">
        <v>7</v>
      </c>
      <c r="U12" s="73">
        <v>29</v>
      </c>
      <c r="V12" s="72">
        <v>7</v>
      </c>
      <c r="W12" s="73">
        <v>51</v>
      </c>
      <c r="X12" s="72">
        <v>7</v>
      </c>
      <c r="Y12" s="73">
        <v>20</v>
      </c>
      <c r="Z12" s="72">
        <v>7</v>
      </c>
      <c r="AA12" s="73">
        <v>40</v>
      </c>
      <c r="AB12" s="72">
        <v>7</v>
      </c>
      <c r="AC12" s="73">
        <v>22</v>
      </c>
      <c r="AD12" s="72">
        <v>7</v>
      </c>
      <c r="AE12" s="73">
        <v>28</v>
      </c>
      <c r="AF12" s="72">
        <v>7</v>
      </c>
      <c r="AG12" s="73">
        <v>73</v>
      </c>
      <c r="AH12" s="72">
        <v>7</v>
      </c>
      <c r="AI12" s="73">
        <v>10</v>
      </c>
      <c r="AJ12" s="72">
        <v>7</v>
      </c>
      <c r="AK12" s="73">
        <v>21</v>
      </c>
      <c r="AL12" s="72">
        <v>7</v>
      </c>
      <c r="AM12" s="73">
        <v>17</v>
      </c>
      <c r="AN12" s="72">
        <v>7</v>
      </c>
      <c r="AO12" s="73">
        <v>27</v>
      </c>
      <c r="AP12" s="72">
        <v>7</v>
      </c>
      <c r="AQ12" s="73">
        <v>29</v>
      </c>
      <c r="AR12" s="72">
        <v>7</v>
      </c>
      <c r="AS12" s="73">
        <v>13</v>
      </c>
      <c r="AT12" s="72">
        <v>7</v>
      </c>
      <c r="AU12" s="73">
        <v>25</v>
      </c>
      <c r="AV12" s="72">
        <v>7</v>
      </c>
      <c r="AW12" s="73">
        <v>34</v>
      </c>
      <c r="AX12" s="72"/>
      <c r="AY12" s="73"/>
      <c r="AZ12" s="72">
        <v>7</v>
      </c>
      <c r="BA12" s="73">
        <v>27</v>
      </c>
      <c r="BB12" s="72">
        <v>7</v>
      </c>
      <c r="BC12" s="73">
        <v>28</v>
      </c>
      <c r="BD12" s="72">
        <v>7</v>
      </c>
      <c r="BE12" s="73">
        <v>16</v>
      </c>
      <c r="BF12" s="72"/>
      <c r="BG12" s="73"/>
      <c r="BH12" s="72">
        <v>7</v>
      </c>
      <c r="BI12" s="73">
        <v>17</v>
      </c>
      <c r="BJ12" s="72"/>
      <c r="BK12" s="73"/>
      <c r="BL12" s="72"/>
      <c r="BM12" s="73"/>
      <c r="BN12" s="72">
        <v>7</v>
      </c>
      <c r="BO12" s="73">
        <v>20</v>
      </c>
      <c r="BP12" s="72"/>
      <c r="BQ12" s="73"/>
      <c r="BR12" s="72"/>
      <c r="BS12" s="73"/>
      <c r="BT12" s="72"/>
      <c r="BU12" s="73"/>
      <c r="BV12" s="72"/>
      <c r="BW12" s="73"/>
      <c r="BX12" s="72">
        <v>7</v>
      </c>
      <c r="BY12" s="73">
        <v>14</v>
      </c>
      <c r="BZ12" s="72"/>
      <c r="CA12" s="74"/>
      <c r="CB12" s="75">
        <v>7</v>
      </c>
      <c r="CC12" s="73">
        <v>29</v>
      </c>
      <c r="CD12" s="72">
        <v>7</v>
      </c>
      <c r="CE12" s="73">
        <v>37</v>
      </c>
      <c r="CF12" s="72">
        <v>7</v>
      </c>
      <c r="CG12" s="73">
        <v>50</v>
      </c>
      <c r="CH12" s="72">
        <v>7</v>
      </c>
      <c r="CI12" s="73">
        <v>53</v>
      </c>
      <c r="CJ12" s="72">
        <v>7</v>
      </c>
      <c r="CK12" s="73">
        <v>60</v>
      </c>
      <c r="CL12" s="72">
        <v>7</v>
      </c>
      <c r="CM12" s="73">
        <v>25</v>
      </c>
      <c r="CN12" s="72">
        <v>7</v>
      </c>
      <c r="CO12" s="73">
        <v>40</v>
      </c>
      <c r="CP12" s="72">
        <v>7</v>
      </c>
      <c r="CQ12" s="73">
        <v>16</v>
      </c>
      <c r="CR12" s="72"/>
      <c r="CS12" s="73"/>
      <c r="CT12" s="72"/>
      <c r="CU12" s="73"/>
      <c r="CV12" s="72"/>
      <c r="CW12" s="73"/>
      <c r="CX12" s="72"/>
      <c r="CY12" s="73"/>
      <c r="CZ12" s="72"/>
      <c r="DA12" s="73"/>
      <c r="DB12" s="72"/>
      <c r="DC12" s="73"/>
      <c r="DD12" s="72"/>
      <c r="DE12" s="73"/>
      <c r="DF12" s="72"/>
      <c r="DG12" s="73"/>
      <c r="DH12" s="72"/>
      <c r="DI12" s="73"/>
      <c r="DJ12" s="72"/>
      <c r="DK12" s="73"/>
      <c r="DL12" s="72">
        <v>7</v>
      </c>
      <c r="DM12" s="73">
        <v>28</v>
      </c>
      <c r="DN12" s="72"/>
      <c r="DO12" s="73"/>
      <c r="DP12" s="72"/>
      <c r="DQ12" s="73"/>
      <c r="DR12" s="72"/>
      <c r="DS12" s="73"/>
      <c r="DT12" s="72"/>
      <c r="DU12" s="73"/>
      <c r="DV12" s="72"/>
      <c r="DW12" s="73"/>
      <c r="DX12" s="72"/>
      <c r="DY12" s="73"/>
      <c r="DZ12" s="72"/>
      <c r="EA12" s="73"/>
      <c r="EB12" s="72">
        <v>7</v>
      </c>
      <c r="EC12" s="73">
        <v>17</v>
      </c>
    </row>
    <row r="13" spans="2:133" ht="13.15" x14ac:dyDescent="0.25">
      <c r="B13" s="72">
        <v>8</v>
      </c>
      <c r="C13" s="73">
        <v>22</v>
      </c>
      <c r="D13" s="72">
        <v>8</v>
      </c>
      <c r="E13" s="73">
        <v>32</v>
      </c>
      <c r="F13" s="72">
        <v>8</v>
      </c>
      <c r="G13" s="73">
        <v>36</v>
      </c>
      <c r="H13" s="72">
        <v>8</v>
      </c>
      <c r="I13" s="73">
        <v>26</v>
      </c>
      <c r="J13" s="72">
        <v>8</v>
      </c>
      <c r="K13" s="73">
        <v>20</v>
      </c>
      <c r="L13" s="72">
        <v>8</v>
      </c>
      <c r="M13" s="73">
        <v>35</v>
      </c>
      <c r="N13" s="72">
        <v>8</v>
      </c>
      <c r="O13" s="73">
        <v>35</v>
      </c>
      <c r="P13" s="72"/>
      <c r="Q13" s="73"/>
      <c r="R13" s="72">
        <v>8</v>
      </c>
      <c r="S13" s="73">
        <v>22</v>
      </c>
      <c r="T13" s="72">
        <v>8</v>
      </c>
      <c r="U13" s="73">
        <v>18</v>
      </c>
      <c r="V13" s="72">
        <v>8</v>
      </c>
      <c r="W13" s="73">
        <v>66</v>
      </c>
      <c r="X13" s="72">
        <v>8</v>
      </c>
      <c r="Y13" s="73">
        <v>29</v>
      </c>
      <c r="Z13" s="72">
        <v>8</v>
      </c>
      <c r="AA13" s="73">
        <v>40</v>
      </c>
      <c r="AB13" s="72">
        <v>8</v>
      </c>
      <c r="AC13" s="73">
        <v>18</v>
      </c>
      <c r="AD13" s="72">
        <v>8</v>
      </c>
      <c r="AE13" s="73">
        <v>36</v>
      </c>
      <c r="AF13" s="72">
        <v>8</v>
      </c>
      <c r="AG13" s="73">
        <v>18</v>
      </c>
      <c r="AH13" s="72">
        <v>8</v>
      </c>
      <c r="AI13" s="73">
        <v>17</v>
      </c>
      <c r="AJ13" s="72">
        <v>8</v>
      </c>
      <c r="AK13" s="73">
        <v>22</v>
      </c>
      <c r="AL13" s="72">
        <v>8</v>
      </c>
      <c r="AM13" s="73">
        <v>9</v>
      </c>
      <c r="AN13" s="72">
        <v>8</v>
      </c>
      <c r="AO13" s="73">
        <v>36</v>
      </c>
      <c r="AP13" s="72">
        <v>8</v>
      </c>
      <c r="AQ13" s="73">
        <v>17</v>
      </c>
      <c r="AR13" s="72">
        <v>8</v>
      </c>
      <c r="AS13" s="73">
        <v>14</v>
      </c>
      <c r="AT13" s="72">
        <v>8</v>
      </c>
      <c r="AU13" s="73">
        <v>22</v>
      </c>
      <c r="AV13" s="72">
        <v>8</v>
      </c>
      <c r="AW13" s="73">
        <v>22</v>
      </c>
      <c r="AX13" s="72"/>
      <c r="AY13" s="73"/>
      <c r="AZ13" s="72">
        <v>8</v>
      </c>
      <c r="BA13" s="73">
        <v>18</v>
      </c>
      <c r="BB13" s="72">
        <v>8</v>
      </c>
      <c r="BC13" s="73">
        <v>27</v>
      </c>
      <c r="BD13" s="72">
        <v>8</v>
      </c>
      <c r="BE13" s="73">
        <v>14</v>
      </c>
      <c r="BF13" s="72"/>
      <c r="BG13" s="73"/>
      <c r="BH13" s="72">
        <v>8</v>
      </c>
      <c r="BI13" s="73">
        <v>14</v>
      </c>
      <c r="BJ13" s="72"/>
      <c r="BK13" s="73"/>
      <c r="BL13" s="72"/>
      <c r="BM13" s="73"/>
      <c r="BN13" s="72"/>
      <c r="BO13" s="73"/>
      <c r="BP13" s="72"/>
      <c r="BQ13" s="73"/>
      <c r="BR13" s="72"/>
      <c r="BS13" s="73"/>
      <c r="BT13" s="72"/>
      <c r="BU13" s="73"/>
      <c r="BV13" s="72"/>
      <c r="BW13" s="73"/>
      <c r="BX13" s="72">
        <v>8</v>
      </c>
      <c r="BY13" s="73">
        <v>23</v>
      </c>
      <c r="BZ13" s="72"/>
      <c r="CA13" s="74"/>
      <c r="CB13" s="75">
        <v>8</v>
      </c>
      <c r="CC13" s="73">
        <v>34</v>
      </c>
      <c r="CD13" s="72">
        <v>8</v>
      </c>
      <c r="CE13" s="73">
        <v>38</v>
      </c>
      <c r="CF13" s="72">
        <v>8</v>
      </c>
      <c r="CG13" s="73">
        <v>56</v>
      </c>
      <c r="CH13" s="72">
        <v>8</v>
      </c>
      <c r="CI13" s="73">
        <v>59</v>
      </c>
      <c r="CJ13" s="72">
        <v>8</v>
      </c>
      <c r="CK13" s="73">
        <v>40</v>
      </c>
      <c r="CL13" s="72">
        <v>8</v>
      </c>
      <c r="CM13" s="73">
        <v>39</v>
      </c>
      <c r="CN13" s="72">
        <v>8</v>
      </c>
      <c r="CO13" s="73">
        <v>13</v>
      </c>
      <c r="CP13" s="72">
        <v>8</v>
      </c>
      <c r="CQ13" s="73">
        <v>24</v>
      </c>
      <c r="CR13" s="72"/>
      <c r="CS13" s="73"/>
      <c r="CT13" s="72"/>
      <c r="CU13" s="73"/>
      <c r="CV13" s="72"/>
      <c r="CW13" s="73"/>
      <c r="CX13" s="72"/>
      <c r="CY13" s="73"/>
      <c r="CZ13" s="72"/>
      <c r="DA13" s="73"/>
      <c r="DB13" s="72"/>
      <c r="DC13" s="73"/>
      <c r="DD13" s="72"/>
      <c r="DE13" s="73"/>
      <c r="DF13" s="72"/>
      <c r="DG13" s="73"/>
      <c r="DH13" s="72"/>
      <c r="DI13" s="73"/>
      <c r="DJ13" s="72"/>
      <c r="DK13" s="73"/>
      <c r="DL13" s="72">
        <v>8</v>
      </c>
      <c r="DM13" s="73">
        <v>13</v>
      </c>
      <c r="DN13" s="72"/>
      <c r="DO13" s="73"/>
      <c r="DP13" s="72"/>
      <c r="DQ13" s="73"/>
      <c r="DR13" s="72"/>
      <c r="DS13" s="73"/>
      <c r="DT13" s="72"/>
      <c r="DU13" s="73"/>
      <c r="DV13" s="72"/>
      <c r="DW13" s="73"/>
      <c r="DX13" s="72"/>
      <c r="DY13" s="73"/>
      <c r="DZ13" s="72"/>
      <c r="EA13" s="73"/>
      <c r="EB13" s="72">
        <v>8</v>
      </c>
      <c r="EC13" s="73">
        <v>13</v>
      </c>
    </row>
    <row r="14" spans="2:133" ht="13.15" x14ac:dyDescent="0.25">
      <c r="B14" s="72">
        <v>9</v>
      </c>
      <c r="C14" s="73">
        <v>29</v>
      </c>
      <c r="D14" s="72">
        <v>9</v>
      </c>
      <c r="E14" s="73">
        <v>35</v>
      </c>
      <c r="F14" s="72">
        <v>9</v>
      </c>
      <c r="G14" s="73">
        <v>24</v>
      </c>
      <c r="H14" s="72">
        <v>9</v>
      </c>
      <c r="I14" s="73">
        <v>23</v>
      </c>
      <c r="J14" s="72">
        <v>9</v>
      </c>
      <c r="K14" s="73">
        <v>29</v>
      </c>
      <c r="L14" s="72">
        <v>9</v>
      </c>
      <c r="M14" s="73">
        <v>27</v>
      </c>
      <c r="N14" s="72">
        <v>9</v>
      </c>
      <c r="O14" s="73">
        <v>57</v>
      </c>
      <c r="P14" s="72"/>
      <c r="Q14" s="73"/>
      <c r="R14" s="72">
        <v>9</v>
      </c>
      <c r="S14" s="73">
        <v>27</v>
      </c>
      <c r="T14" s="72">
        <v>9</v>
      </c>
      <c r="U14" s="73">
        <v>13</v>
      </c>
      <c r="V14" s="72">
        <v>9</v>
      </c>
      <c r="W14" s="73">
        <v>28</v>
      </c>
      <c r="X14" s="72">
        <v>9</v>
      </c>
      <c r="Y14" s="73">
        <v>37</v>
      </c>
      <c r="Z14" s="72">
        <v>9</v>
      </c>
      <c r="AA14" s="73">
        <v>44</v>
      </c>
      <c r="AB14" s="72">
        <v>9</v>
      </c>
      <c r="AC14" s="73">
        <v>31</v>
      </c>
      <c r="AD14" s="72">
        <v>9</v>
      </c>
      <c r="AE14" s="73">
        <v>15</v>
      </c>
      <c r="AF14" s="72">
        <v>9</v>
      </c>
      <c r="AG14" s="73">
        <v>38</v>
      </c>
      <c r="AH14" s="72">
        <v>9</v>
      </c>
      <c r="AI14" s="73">
        <v>32</v>
      </c>
      <c r="AJ14" s="72">
        <v>9</v>
      </c>
      <c r="AK14" s="73">
        <v>35</v>
      </c>
      <c r="AL14" s="72">
        <v>9</v>
      </c>
      <c r="AM14" s="73">
        <v>20</v>
      </c>
      <c r="AN14" s="72">
        <v>9</v>
      </c>
      <c r="AO14" s="73">
        <v>18</v>
      </c>
      <c r="AP14" s="72">
        <v>9</v>
      </c>
      <c r="AQ14" s="73">
        <v>18</v>
      </c>
      <c r="AR14" s="72"/>
      <c r="AS14" s="73"/>
      <c r="AT14" s="72">
        <v>9</v>
      </c>
      <c r="AU14" s="73">
        <v>21</v>
      </c>
      <c r="AV14" s="72">
        <v>9</v>
      </c>
      <c r="AW14" s="73">
        <v>26</v>
      </c>
      <c r="AX14" s="72"/>
      <c r="AY14" s="73"/>
      <c r="AZ14" s="72">
        <v>9</v>
      </c>
      <c r="BA14" s="73">
        <v>11</v>
      </c>
      <c r="BB14" s="72">
        <v>9</v>
      </c>
      <c r="BC14" s="73">
        <v>27</v>
      </c>
      <c r="BD14" s="72">
        <v>9</v>
      </c>
      <c r="BE14" s="73">
        <v>17</v>
      </c>
      <c r="BF14" s="72"/>
      <c r="BG14" s="73"/>
      <c r="BH14" s="72">
        <v>9</v>
      </c>
      <c r="BI14" s="73">
        <v>15</v>
      </c>
      <c r="BJ14" s="72"/>
      <c r="BK14" s="73"/>
      <c r="BL14" s="72"/>
      <c r="BM14" s="73"/>
      <c r="BN14" s="72"/>
      <c r="BO14" s="73"/>
      <c r="BP14" s="72"/>
      <c r="BQ14" s="73"/>
      <c r="BR14" s="72"/>
      <c r="BS14" s="73"/>
      <c r="BT14" s="72"/>
      <c r="BU14" s="73"/>
      <c r="BV14" s="72"/>
      <c r="BW14" s="73"/>
      <c r="BX14" s="72">
        <v>9</v>
      </c>
      <c r="BY14" s="73">
        <v>17</v>
      </c>
      <c r="BZ14" s="72"/>
      <c r="CA14" s="74"/>
      <c r="CB14" s="75">
        <v>9</v>
      </c>
      <c r="CC14" s="73">
        <v>38</v>
      </c>
      <c r="CD14" s="72">
        <v>9</v>
      </c>
      <c r="CE14" s="73">
        <v>50</v>
      </c>
      <c r="CF14" s="72">
        <v>9</v>
      </c>
      <c r="CG14" s="73">
        <v>62</v>
      </c>
      <c r="CH14" s="72">
        <v>9</v>
      </c>
      <c r="CI14" s="73">
        <v>41</v>
      </c>
      <c r="CJ14" s="72">
        <v>9</v>
      </c>
      <c r="CK14" s="73">
        <v>43</v>
      </c>
      <c r="CL14" s="72">
        <v>9</v>
      </c>
      <c r="CM14" s="73">
        <v>33</v>
      </c>
      <c r="CN14" s="72">
        <v>9</v>
      </c>
      <c r="CO14" s="73">
        <v>27</v>
      </c>
      <c r="CP14" s="72">
        <v>9</v>
      </c>
      <c r="CQ14" s="73">
        <v>15</v>
      </c>
      <c r="CR14" s="72"/>
      <c r="CS14" s="73"/>
      <c r="CT14" s="72"/>
      <c r="CU14" s="73"/>
      <c r="CV14" s="72"/>
      <c r="CW14" s="73"/>
      <c r="CX14" s="72"/>
      <c r="CY14" s="73"/>
      <c r="CZ14" s="72"/>
      <c r="DA14" s="73"/>
      <c r="DB14" s="72"/>
      <c r="DC14" s="73"/>
      <c r="DD14" s="72"/>
      <c r="DE14" s="73"/>
      <c r="DF14" s="72"/>
      <c r="DG14" s="73"/>
      <c r="DH14" s="72"/>
      <c r="DI14" s="73"/>
      <c r="DJ14" s="72"/>
      <c r="DK14" s="73"/>
      <c r="DL14" s="72">
        <v>9</v>
      </c>
      <c r="DM14" s="73">
        <v>28</v>
      </c>
      <c r="DN14" s="72"/>
      <c r="DO14" s="73"/>
      <c r="DP14" s="72"/>
      <c r="DQ14" s="73"/>
      <c r="DR14" s="72"/>
      <c r="DS14" s="73"/>
      <c r="DT14" s="72"/>
      <c r="DU14" s="73"/>
      <c r="DV14" s="72"/>
      <c r="DW14" s="73"/>
      <c r="DX14" s="72"/>
      <c r="DY14" s="73"/>
      <c r="DZ14" s="72"/>
      <c r="EA14" s="73"/>
      <c r="EB14" s="72">
        <v>9</v>
      </c>
      <c r="EC14" s="73">
        <v>21</v>
      </c>
    </row>
    <row r="15" spans="2:133" ht="13.15" x14ac:dyDescent="0.25">
      <c r="B15" s="72">
        <v>10</v>
      </c>
      <c r="C15" s="73">
        <v>32</v>
      </c>
      <c r="D15" s="72">
        <v>10</v>
      </c>
      <c r="E15" s="73">
        <v>29</v>
      </c>
      <c r="F15" s="72">
        <v>10</v>
      </c>
      <c r="G15" s="73">
        <v>20</v>
      </c>
      <c r="H15" s="72">
        <v>10</v>
      </c>
      <c r="I15" s="73">
        <v>36</v>
      </c>
      <c r="J15" s="72">
        <v>10</v>
      </c>
      <c r="K15" s="73">
        <v>22</v>
      </c>
      <c r="L15" s="72">
        <v>10</v>
      </c>
      <c r="M15" s="73">
        <v>43</v>
      </c>
      <c r="N15" s="72">
        <v>10</v>
      </c>
      <c r="O15" s="73">
        <v>18</v>
      </c>
      <c r="P15" s="72"/>
      <c r="Q15" s="73"/>
      <c r="R15" s="72">
        <v>10</v>
      </c>
      <c r="S15" s="73">
        <v>27</v>
      </c>
      <c r="T15" s="72">
        <v>10</v>
      </c>
      <c r="U15" s="73">
        <v>19</v>
      </c>
      <c r="V15" s="72">
        <v>10</v>
      </c>
      <c r="W15" s="73">
        <v>29</v>
      </c>
      <c r="X15" s="72">
        <v>10</v>
      </c>
      <c r="Y15" s="73">
        <v>36</v>
      </c>
      <c r="Z15" s="72">
        <v>10</v>
      </c>
      <c r="AA15" s="73">
        <v>14</v>
      </c>
      <c r="AB15" s="72">
        <v>10</v>
      </c>
      <c r="AC15" s="73">
        <v>19</v>
      </c>
      <c r="AD15" s="72">
        <v>10</v>
      </c>
      <c r="AE15" s="73">
        <v>44</v>
      </c>
      <c r="AF15" s="72">
        <v>1</v>
      </c>
      <c r="AG15" s="73">
        <v>39</v>
      </c>
      <c r="AH15" s="72">
        <v>10</v>
      </c>
      <c r="AI15" s="73">
        <v>3</v>
      </c>
      <c r="AJ15" s="72">
        <v>10</v>
      </c>
      <c r="AK15" s="73">
        <v>22</v>
      </c>
      <c r="AL15" s="72">
        <v>10</v>
      </c>
      <c r="AM15" s="73">
        <v>18</v>
      </c>
      <c r="AN15" s="72">
        <v>10</v>
      </c>
      <c r="AO15" s="73">
        <v>32</v>
      </c>
      <c r="AP15" s="72">
        <v>10</v>
      </c>
      <c r="AQ15" s="73">
        <v>20</v>
      </c>
      <c r="AR15" s="72"/>
      <c r="AS15" s="73"/>
      <c r="AT15" s="72">
        <v>10</v>
      </c>
      <c r="AU15" s="73">
        <v>34</v>
      </c>
      <c r="AV15" s="72">
        <v>1</v>
      </c>
      <c r="AW15" s="73">
        <v>25</v>
      </c>
      <c r="AX15" s="72"/>
      <c r="AY15" s="73"/>
      <c r="AZ15" s="72">
        <v>10</v>
      </c>
      <c r="BA15" s="73">
        <v>22</v>
      </c>
      <c r="BB15" s="72">
        <v>10</v>
      </c>
      <c r="BC15" s="73">
        <v>21</v>
      </c>
      <c r="BD15" s="72">
        <v>10</v>
      </c>
      <c r="BE15" s="73">
        <v>15</v>
      </c>
      <c r="BF15" s="72"/>
      <c r="BG15" s="73"/>
      <c r="BH15" s="72"/>
      <c r="BI15" s="73"/>
      <c r="BJ15" s="72"/>
      <c r="BK15" s="73"/>
      <c r="BL15" s="72"/>
      <c r="BM15" s="73"/>
      <c r="BN15" s="72"/>
      <c r="BO15" s="73"/>
      <c r="BP15" s="72"/>
      <c r="BQ15" s="73"/>
      <c r="BR15" s="72"/>
      <c r="BS15" s="73"/>
      <c r="BT15" s="72"/>
      <c r="BU15" s="73"/>
      <c r="BV15" s="72"/>
      <c r="BW15" s="73"/>
      <c r="BX15" s="72">
        <v>10</v>
      </c>
      <c r="BY15" s="73">
        <v>12</v>
      </c>
      <c r="BZ15" s="72"/>
      <c r="CA15" s="74"/>
      <c r="CB15" s="75">
        <v>1</v>
      </c>
      <c r="CC15" s="73">
        <v>42</v>
      </c>
      <c r="CD15" s="72">
        <v>10</v>
      </c>
      <c r="CE15" s="73">
        <v>52</v>
      </c>
      <c r="CF15" s="72">
        <v>10</v>
      </c>
      <c r="CG15" s="73">
        <v>42</v>
      </c>
      <c r="CH15" s="72">
        <v>10</v>
      </c>
      <c r="CI15" s="73">
        <v>42</v>
      </c>
      <c r="CJ15" s="72">
        <v>10</v>
      </c>
      <c r="CK15" s="73">
        <v>48</v>
      </c>
      <c r="CL15" s="72">
        <v>10</v>
      </c>
      <c r="CM15" s="73">
        <v>21</v>
      </c>
      <c r="CN15" s="72">
        <v>10</v>
      </c>
      <c r="CO15" s="73">
        <v>33</v>
      </c>
      <c r="CP15" s="72">
        <v>10</v>
      </c>
      <c r="CQ15" s="73">
        <v>18</v>
      </c>
      <c r="CR15" s="72"/>
      <c r="CS15" s="73"/>
      <c r="CT15" s="72"/>
      <c r="CU15" s="73"/>
      <c r="CV15" s="72"/>
      <c r="CW15" s="73"/>
      <c r="CX15" s="72"/>
      <c r="CY15" s="73"/>
      <c r="CZ15" s="72"/>
      <c r="DA15" s="73"/>
      <c r="DB15" s="72"/>
      <c r="DC15" s="73"/>
      <c r="DD15" s="72"/>
      <c r="DE15" s="73"/>
      <c r="DF15" s="72"/>
      <c r="DG15" s="73"/>
      <c r="DH15" s="72"/>
      <c r="DI15" s="73"/>
      <c r="DJ15" s="72"/>
      <c r="DK15" s="73"/>
      <c r="DL15" s="72">
        <v>10</v>
      </c>
      <c r="DM15" s="73">
        <v>39</v>
      </c>
      <c r="DN15" s="72"/>
      <c r="DO15" s="73"/>
      <c r="DP15" s="72"/>
      <c r="DQ15" s="73"/>
      <c r="DR15" s="72"/>
      <c r="DS15" s="73"/>
      <c r="DT15" s="72"/>
      <c r="DU15" s="73"/>
      <c r="DV15" s="72"/>
      <c r="DW15" s="73"/>
      <c r="DX15" s="72"/>
      <c r="DY15" s="73"/>
      <c r="DZ15" s="72"/>
      <c r="EA15" s="73"/>
      <c r="EB15" s="72">
        <v>10</v>
      </c>
      <c r="EC15" s="73">
        <v>11</v>
      </c>
    </row>
    <row r="16" spans="2:133" ht="13.15" x14ac:dyDescent="0.25">
      <c r="B16" s="72">
        <v>11</v>
      </c>
      <c r="C16" s="73">
        <v>32</v>
      </c>
      <c r="D16" s="72">
        <v>11</v>
      </c>
      <c r="E16" s="73">
        <v>10</v>
      </c>
      <c r="F16" s="72">
        <v>11</v>
      </c>
      <c r="G16" s="73">
        <v>47</v>
      </c>
      <c r="H16" s="72">
        <v>11</v>
      </c>
      <c r="I16" s="73">
        <v>35</v>
      </c>
      <c r="J16" s="72">
        <v>11</v>
      </c>
      <c r="K16" s="73">
        <v>32</v>
      </c>
      <c r="L16" s="72">
        <v>11</v>
      </c>
      <c r="M16" s="73">
        <v>23</v>
      </c>
      <c r="N16" s="72">
        <v>11</v>
      </c>
      <c r="O16" s="73">
        <v>40</v>
      </c>
      <c r="P16" s="72"/>
      <c r="Q16" s="73"/>
      <c r="R16" s="72">
        <v>11</v>
      </c>
      <c r="S16" s="73">
        <v>15</v>
      </c>
      <c r="T16" s="72">
        <v>11</v>
      </c>
      <c r="U16" s="73">
        <v>27</v>
      </c>
      <c r="V16" s="72">
        <v>11</v>
      </c>
      <c r="W16" s="73">
        <v>43</v>
      </c>
      <c r="X16" s="72">
        <v>11</v>
      </c>
      <c r="Y16" s="73">
        <v>21</v>
      </c>
      <c r="Z16" s="72">
        <v>11</v>
      </c>
      <c r="AA16" s="73">
        <v>47</v>
      </c>
      <c r="AB16" s="72">
        <v>11</v>
      </c>
      <c r="AC16" s="73">
        <v>23</v>
      </c>
      <c r="AD16" s="72"/>
      <c r="AE16" s="73"/>
      <c r="AF16" s="72">
        <v>11</v>
      </c>
      <c r="AG16" s="73">
        <v>36</v>
      </c>
      <c r="AH16" s="72"/>
      <c r="AI16" s="73"/>
      <c r="AJ16" s="72">
        <v>11</v>
      </c>
      <c r="AK16" s="73">
        <v>20</v>
      </c>
      <c r="AL16" s="72">
        <v>11</v>
      </c>
      <c r="AM16" s="73">
        <v>7</v>
      </c>
      <c r="AN16" s="72">
        <v>11</v>
      </c>
      <c r="AO16" s="73">
        <v>31</v>
      </c>
      <c r="AP16" s="72">
        <v>11</v>
      </c>
      <c r="AQ16" s="73">
        <v>10</v>
      </c>
      <c r="AR16" s="72"/>
      <c r="AS16" s="73"/>
      <c r="AT16" s="72">
        <v>11</v>
      </c>
      <c r="AU16" s="73">
        <v>16</v>
      </c>
      <c r="AV16" s="72">
        <v>11</v>
      </c>
      <c r="AW16" s="73">
        <v>23</v>
      </c>
      <c r="AX16" s="72"/>
      <c r="AY16" s="73"/>
      <c r="AZ16" s="72">
        <v>11</v>
      </c>
      <c r="BA16" s="73">
        <v>25</v>
      </c>
      <c r="BB16" s="72">
        <v>11</v>
      </c>
      <c r="BC16" s="73">
        <v>45</v>
      </c>
      <c r="BD16" s="72">
        <v>11</v>
      </c>
      <c r="BE16" s="73">
        <v>12</v>
      </c>
      <c r="BF16" s="72"/>
      <c r="BG16" s="73"/>
      <c r="BH16" s="72"/>
      <c r="BI16" s="73"/>
      <c r="BJ16" s="72"/>
      <c r="BK16" s="73"/>
      <c r="BL16" s="72"/>
      <c r="BM16" s="73"/>
      <c r="BN16" s="72"/>
      <c r="BO16" s="73"/>
      <c r="BP16" s="72"/>
      <c r="BQ16" s="73"/>
      <c r="BR16" s="72"/>
      <c r="BS16" s="73"/>
      <c r="BT16" s="72"/>
      <c r="BU16" s="73"/>
      <c r="BV16" s="72"/>
      <c r="BW16" s="73"/>
      <c r="BX16" s="72">
        <v>11</v>
      </c>
      <c r="BY16" s="73">
        <v>17</v>
      </c>
      <c r="BZ16" s="72"/>
      <c r="CA16" s="74"/>
      <c r="CB16" s="75">
        <v>11</v>
      </c>
      <c r="CC16" s="73">
        <v>30</v>
      </c>
      <c r="CD16" s="72">
        <v>11</v>
      </c>
      <c r="CE16" s="73">
        <v>33</v>
      </c>
      <c r="CF16" s="72">
        <v>11</v>
      </c>
      <c r="CG16" s="73">
        <v>54</v>
      </c>
      <c r="CH16" s="72">
        <v>11</v>
      </c>
      <c r="CI16" s="73">
        <v>57</v>
      </c>
      <c r="CJ16" s="72">
        <v>11</v>
      </c>
      <c r="CK16" s="73">
        <v>30</v>
      </c>
      <c r="CL16" s="72">
        <v>11</v>
      </c>
      <c r="CM16" s="73">
        <v>36</v>
      </c>
      <c r="CN16" s="72">
        <v>11</v>
      </c>
      <c r="CO16" s="73">
        <v>34</v>
      </c>
      <c r="CP16" s="72">
        <v>11</v>
      </c>
      <c r="CQ16" s="73">
        <v>33</v>
      </c>
      <c r="CR16" s="72"/>
      <c r="CS16" s="73"/>
      <c r="CT16" s="72"/>
      <c r="CU16" s="73"/>
      <c r="CV16" s="72"/>
      <c r="CW16" s="73"/>
      <c r="CX16" s="72"/>
      <c r="CY16" s="73"/>
      <c r="CZ16" s="72"/>
      <c r="DA16" s="73"/>
      <c r="DB16" s="72"/>
      <c r="DC16" s="73"/>
      <c r="DD16" s="72"/>
      <c r="DE16" s="73"/>
      <c r="DF16" s="72"/>
      <c r="DG16" s="73"/>
      <c r="DH16" s="72"/>
      <c r="DI16" s="73"/>
      <c r="DJ16" s="72"/>
      <c r="DK16" s="73"/>
      <c r="DL16" s="72">
        <v>11</v>
      </c>
      <c r="DM16" s="73">
        <v>40</v>
      </c>
      <c r="DN16" s="72"/>
      <c r="DO16" s="73"/>
      <c r="DP16" s="72"/>
      <c r="DQ16" s="73"/>
      <c r="DR16" s="72"/>
      <c r="DS16" s="73"/>
      <c r="DT16" s="72"/>
      <c r="DU16" s="73"/>
      <c r="DV16" s="72"/>
      <c r="DW16" s="73"/>
      <c r="DX16" s="72"/>
      <c r="DY16" s="73"/>
      <c r="DZ16" s="72"/>
      <c r="EA16" s="73"/>
      <c r="EB16" s="72">
        <v>11</v>
      </c>
      <c r="EC16" s="73">
        <v>19</v>
      </c>
    </row>
    <row r="17" spans="2:133" ht="13.15" x14ac:dyDescent="0.25">
      <c r="B17" s="72">
        <v>12</v>
      </c>
      <c r="C17" s="73">
        <v>20</v>
      </c>
      <c r="D17" s="72">
        <v>12</v>
      </c>
      <c r="E17" s="73">
        <v>51</v>
      </c>
      <c r="F17" s="72">
        <v>12</v>
      </c>
      <c r="G17" s="73">
        <v>8</v>
      </c>
      <c r="H17" s="72">
        <v>12</v>
      </c>
      <c r="I17" s="73">
        <v>16</v>
      </c>
      <c r="J17" s="72">
        <v>12</v>
      </c>
      <c r="K17" s="73">
        <v>32</v>
      </c>
      <c r="L17" s="72">
        <v>12</v>
      </c>
      <c r="M17" s="73">
        <v>24</v>
      </c>
      <c r="N17" s="72">
        <v>12</v>
      </c>
      <c r="O17" s="73">
        <v>15</v>
      </c>
      <c r="P17" s="72"/>
      <c r="Q17" s="73"/>
      <c r="R17" s="72">
        <v>12</v>
      </c>
      <c r="S17" s="73">
        <v>25</v>
      </c>
      <c r="T17" s="72">
        <v>12</v>
      </c>
      <c r="U17" s="73">
        <v>31</v>
      </c>
      <c r="V17" s="72">
        <v>12</v>
      </c>
      <c r="W17" s="73">
        <v>33</v>
      </c>
      <c r="X17" s="72">
        <v>12</v>
      </c>
      <c r="Y17" s="73">
        <v>21</v>
      </c>
      <c r="Z17" s="72">
        <v>12</v>
      </c>
      <c r="AA17" s="73">
        <v>40</v>
      </c>
      <c r="AB17" s="72">
        <v>12</v>
      </c>
      <c r="AC17" s="73">
        <v>16</v>
      </c>
      <c r="AD17" s="72"/>
      <c r="AE17" s="73"/>
      <c r="AF17" s="72">
        <v>12</v>
      </c>
      <c r="AG17" s="73">
        <v>47</v>
      </c>
      <c r="AH17" s="72"/>
      <c r="AI17" s="73"/>
      <c r="AJ17" s="72">
        <v>12</v>
      </c>
      <c r="AK17" s="73">
        <v>25</v>
      </c>
      <c r="AL17" s="72">
        <v>12</v>
      </c>
      <c r="AM17" s="73">
        <v>8</v>
      </c>
      <c r="AN17" s="72">
        <v>12</v>
      </c>
      <c r="AO17" s="73">
        <v>28</v>
      </c>
      <c r="AP17" s="72">
        <v>12</v>
      </c>
      <c r="AQ17" s="73">
        <v>14</v>
      </c>
      <c r="AR17" s="72"/>
      <c r="AS17" s="73"/>
      <c r="AT17" s="72">
        <v>12</v>
      </c>
      <c r="AU17" s="73">
        <v>6</v>
      </c>
      <c r="AV17" s="72">
        <v>12</v>
      </c>
      <c r="AW17" s="73">
        <v>17</v>
      </c>
      <c r="AX17" s="72"/>
      <c r="AY17" s="73"/>
      <c r="AZ17" s="72">
        <v>12</v>
      </c>
      <c r="BA17" s="73">
        <v>28</v>
      </c>
      <c r="BB17" s="72">
        <v>12</v>
      </c>
      <c r="BC17" s="73">
        <v>13</v>
      </c>
      <c r="BD17" s="72">
        <v>12</v>
      </c>
      <c r="BE17" s="73">
        <v>14</v>
      </c>
      <c r="BF17" s="72"/>
      <c r="BG17" s="73"/>
      <c r="BH17" s="72"/>
      <c r="BI17" s="73"/>
      <c r="BJ17" s="72"/>
      <c r="BK17" s="73"/>
      <c r="BL17" s="72"/>
      <c r="BM17" s="73"/>
      <c r="BN17" s="72"/>
      <c r="BO17" s="73"/>
      <c r="BP17" s="72"/>
      <c r="BQ17" s="73"/>
      <c r="BR17" s="72"/>
      <c r="BS17" s="73"/>
      <c r="BT17" s="72"/>
      <c r="BU17" s="73"/>
      <c r="BV17" s="72"/>
      <c r="BW17" s="73"/>
      <c r="BX17" s="72">
        <v>12</v>
      </c>
      <c r="BY17" s="73">
        <v>14</v>
      </c>
      <c r="BZ17" s="72"/>
      <c r="CA17" s="74"/>
      <c r="CB17" s="75">
        <v>12</v>
      </c>
      <c r="CC17" s="73">
        <v>50</v>
      </c>
      <c r="CD17" s="72">
        <v>12</v>
      </c>
      <c r="CE17" s="73">
        <v>44</v>
      </c>
      <c r="CF17" s="72">
        <v>12</v>
      </c>
      <c r="CG17" s="73">
        <v>59</v>
      </c>
      <c r="CH17" s="72">
        <v>12</v>
      </c>
      <c r="CI17" s="73">
        <v>50</v>
      </c>
      <c r="CJ17" s="72">
        <v>12</v>
      </c>
      <c r="CK17" s="73">
        <v>25</v>
      </c>
      <c r="CL17" s="72">
        <v>12</v>
      </c>
      <c r="CM17" s="73">
        <v>21</v>
      </c>
      <c r="CN17" s="72">
        <v>12</v>
      </c>
      <c r="CO17" s="73">
        <v>31</v>
      </c>
      <c r="CP17" s="72">
        <v>12</v>
      </c>
      <c r="CQ17" s="73">
        <v>21</v>
      </c>
      <c r="CR17" s="72"/>
      <c r="CS17" s="73"/>
      <c r="CT17" s="72"/>
      <c r="CU17" s="73"/>
      <c r="CV17" s="72"/>
      <c r="CW17" s="73"/>
      <c r="CX17" s="72"/>
      <c r="CY17" s="73"/>
      <c r="CZ17" s="72"/>
      <c r="DA17" s="73"/>
      <c r="DB17" s="72"/>
      <c r="DC17" s="73"/>
      <c r="DD17" s="72"/>
      <c r="DE17" s="73"/>
      <c r="DF17" s="72"/>
      <c r="DG17" s="73"/>
      <c r="DH17" s="72"/>
      <c r="DI17" s="73"/>
      <c r="DJ17" s="72"/>
      <c r="DK17" s="73"/>
      <c r="DL17" s="72">
        <v>12</v>
      </c>
      <c r="DM17" s="73">
        <v>29</v>
      </c>
      <c r="DN17" s="72"/>
      <c r="DO17" s="73"/>
      <c r="DP17" s="72"/>
      <c r="DQ17" s="73"/>
      <c r="DR17" s="72"/>
      <c r="DS17" s="73"/>
      <c r="DT17" s="72"/>
      <c r="DU17" s="73"/>
      <c r="DV17" s="72"/>
      <c r="DW17" s="73"/>
      <c r="DX17" s="72"/>
      <c r="DY17" s="73"/>
      <c r="DZ17" s="72"/>
      <c r="EA17" s="73"/>
      <c r="EB17" s="72">
        <v>12</v>
      </c>
      <c r="EC17" s="73">
        <v>17</v>
      </c>
    </row>
    <row r="18" spans="2:133" ht="13.15" x14ac:dyDescent="0.25">
      <c r="B18" s="72">
        <v>13</v>
      </c>
      <c r="C18" s="73">
        <v>18</v>
      </c>
      <c r="D18" s="72">
        <v>13</v>
      </c>
      <c r="E18" s="73">
        <v>22</v>
      </c>
      <c r="F18" s="72">
        <v>13</v>
      </c>
      <c r="G18" s="73">
        <v>59</v>
      </c>
      <c r="H18" s="72">
        <v>13</v>
      </c>
      <c r="I18" s="73">
        <v>33</v>
      </c>
      <c r="J18" s="72">
        <v>13</v>
      </c>
      <c r="K18" s="73">
        <v>18</v>
      </c>
      <c r="L18" s="72">
        <v>13</v>
      </c>
      <c r="M18" s="73">
        <v>33</v>
      </c>
      <c r="N18" s="72">
        <v>13</v>
      </c>
      <c r="O18" s="73">
        <v>25</v>
      </c>
      <c r="P18" s="72"/>
      <c r="Q18" s="73"/>
      <c r="R18" s="72">
        <v>13</v>
      </c>
      <c r="S18" s="73">
        <v>23</v>
      </c>
      <c r="T18" s="72">
        <v>13</v>
      </c>
      <c r="U18" s="73">
        <v>39</v>
      </c>
      <c r="V18" s="72">
        <v>13</v>
      </c>
      <c r="W18" s="73">
        <v>34</v>
      </c>
      <c r="X18" s="72">
        <v>13</v>
      </c>
      <c r="Y18" s="73">
        <v>25</v>
      </c>
      <c r="Z18" s="72">
        <v>13</v>
      </c>
      <c r="AA18" s="73">
        <v>14</v>
      </c>
      <c r="AB18" s="72">
        <v>13</v>
      </c>
      <c r="AC18" s="73">
        <v>22</v>
      </c>
      <c r="AD18" s="72"/>
      <c r="AE18" s="73"/>
      <c r="AF18" s="72">
        <v>13</v>
      </c>
      <c r="AG18" s="73">
        <v>31</v>
      </c>
      <c r="AH18" s="72"/>
      <c r="AI18" s="73"/>
      <c r="AJ18" s="72">
        <v>13</v>
      </c>
      <c r="AK18" s="73">
        <v>28</v>
      </c>
      <c r="AL18" s="72">
        <v>13</v>
      </c>
      <c r="AM18" s="73">
        <v>6</v>
      </c>
      <c r="AN18" s="72">
        <v>13</v>
      </c>
      <c r="AO18" s="73">
        <v>25</v>
      </c>
      <c r="AP18" s="72"/>
      <c r="AQ18" s="73"/>
      <c r="AR18" s="72"/>
      <c r="AS18" s="73"/>
      <c r="AT18" s="72">
        <v>13</v>
      </c>
      <c r="AU18" s="73">
        <v>22</v>
      </c>
      <c r="AV18" s="72">
        <v>13</v>
      </c>
      <c r="AW18" s="73">
        <v>27</v>
      </c>
      <c r="AX18" s="72"/>
      <c r="AY18" s="73"/>
      <c r="AZ18" s="72">
        <v>13</v>
      </c>
      <c r="BA18" s="73">
        <v>23</v>
      </c>
      <c r="BB18" s="72"/>
      <c r="BC18" s="73"/>
      <c r="BD18" s="72">
        <v>13</v>
      </c>
      <c r="BE18" s="73">
        <v>16</v>
      </c>
      <c r="BF18" s="72"/>
      <c r="BG18" s="73"/>
      <c r="BH18" s="72"/>
      <c r="BI18" s="73"/>
      <c r="BJ18" s="72"/>
      <c r="BK18" s="73"/>
      <c r="BL18" s="72"/>
      <c r="BM18" s="73"/>
      <c r="BN18" s="72"/>
      <c r="BO18" s="73"/>
      <c r="BP18" s="72"/>
      <c r="BQ18" s="73"/>
      <c r="BR18" s="72"/>
      <c r="BS18" s="73"/>
      <c r="BT18" s="72"/>
      <c r="BU18" s="73"/>
      <c r="BV18" s="72"/>
      <c r="BW18" s="73"/>
      <c r="BX18" s="72">
        <v>13</v>
      </c>
      <c r="BY18" s="73">
        <v>9</v>
      </c>
      <c r="BZ18" s="72"/>
      <c r="CA18" s="74"/>
      <c r="CB18" s="75">
        <v>13</v>
      </c>
      <c r="CC18" s="73">
        <v>58</v>
      </c>
      <c r="CD18" s="72">
        <v>13</v>
      </c>
      <c r="CE18" s="73">
        <v>37</v>
      </c>
      <c r="CF18" s="72">
        <v>13</v>
      </c>
      <c r="CG18" s="73">
        <v>35</v>
      </c>
      <c r="CH18" s="72">
        <v>13</v>
      </c>
      <c r="CI18" s="73">
        <v>38</v>
      </c>
      <c r="CJ18" s="72">
        <v>13</v>
      </c>
      <c r="CK18" s="73">
        <v>52</v>
      </c>
      <c r="CL18" s="72">
        <v>13</v>
      </c>
      <c r="CM18" s="73">
        <v>14</v>
      </c>
      <c r="CN18" s="72">
        <v>13</v>
      </c>
      <c r="CO18" s="73">
        <v>13</v>
      </c>
      <c r="CP18" s="72">
        <v>13</v>
      </c>
      <c r="CQ18" s="73">
        <v>14</v>
      </c>
      <c r="CR18" s="72"/>
      <c r="CS18" s="73"/>
      <c r="CT18" s="72"/>
      <c r="CU18" s="73"/>
      <c r="CV18" s="72"/>
      <c r="CW18" s="73"/>
      <c r="CX18" s="72"/>
      <c r="CY18" s="73"/>
      <c r="CZ18" s="72"/>
      <c r="DA18" s="73"/>
      <c r="DB18" s="72"/>
      <c r="DC18" s="73"/>
      <c r="DD18" s="72"/>
      <c r="DE18" s="73"/>
      <c r="DF18" s="72"/>
      <c r="DG18" s="73"/>
      <c r="DH18" s="72"/>
      <c r="DI18" s="73"/>
      <c r="DJ18" s="72"/>
      <c r="DK18" s="73"/>
      <c r="DL18" s="72">
        <v>13</v>
      </c>
      <c r="DM18" s="73">
        <v>25</v>
      </c>
      <c r="DN18" s="72"/>
      <c r="DO18" s="73"/>
      <c r="DP18" s="72"/>
      <c r="DQ18" s="73"/>
      <c r="DR18" s="72"/>
      <c r="DS18" s="73"/>
      <c r="DT18" s="72"/>
      <c r="DU18" s="73"/>
      <c r="DV18" s="72"/>
      <c r="DW18" s="73"/>
      <c r="DX18" s="72"/>
      <c r="DY18" s="73"/>
      <c r="DZ18" s="72"/>
      <c r="EA18" s="73"/>
      <c r="EB18" s="72">
        <v>13</v>
      </c>
      <c r="EC18" s="73">
        <v>18</v>
      </c>
    </row>
    <row r="19" spans="2:133" ht="13.15" x14ac:dyDescent="0.25">
      <c r="B19" s="72">
        <v>14</v>
      </c>
      <c r="C19" s="73">
        <v>24</v>
      </c>
      <c r="D19" s="72">
        <v>14</v>
      </c>
      <c r="E19" s="73">
        <v>31</v>
      </c>
      <c r="F19" s="72">
        <v>14</v>
      </c>
      <c r="G19" s="73">
        <v>57</v>
      </c>
      <c r="H19" s="72">
        <v>14</v>
      </c>
      <c r="I19" s="73">
        <v>45</v>
      </c>
      <c r="J19" s="72">
        <v>14</v>
      </c>
      <c r="K19" s="73">
        <v>29</v>
      </c>
      <c r="L19" s="72">
        <v>14</v>
      </c>
      <c r="M19" s="73">
        <v>15</v>
      </c>
      <c r="N19" s="72">
        <v>14</v>
      </c>
      <c r="O19" s="73">
        <v>20</v>
      </c>
      <c r="P19" s="72"/>
      <c r="Q19" s="73"/>
      <c r="R19" s="72">
        <v>14</v>
      </c>
      <c r="S19" s="73">
        <v>52</v>
      </c>
      <c r="T19" s="72">
        <v>14</v>
      </c>
      <c r="U19" s="73">
        <v>33</v>
      </c>
      <c r="V19" s="72">
        <v>14</v>
      </c>
      <c r="W19" s="73">
        <v>31</v>
      </c>
      <c r="X19" s="72">
        <v>14</v>
      </c>
      <c r="Y19" s="73">
        <v>29</v>
      </c>
      <c r="Z19" s="72">
        <v>14</v>
      </c>
      <c r="AA19" s="73">
        <v>17</v>
      </c>
      <c r="AB19" s="72">
        <v>14</v>
      </c>
      <c r="AC19" s="73">
        <v>15</v>
      </c>
      <c r="AD19" s="72"/>
      <c r="AE19" s="73"/>
      <c r="AF19" s="72"/>
      <c r="AG19" s="73"/>
      <c r="AH19" s="72"/>
      <c r="AI19" s="73"/>
      <c r="AJ19" s="72">
        <v>14</v>
      </c>
      <c r="AK19" s="73">
        <v>22</v>
      </c>
      <c r="AL19" s="72">
        <v>14</v>
      </c>
      <c r="AM19" s="73">
        <v>7</v>
      </c>
      <c r="AN19" s="72">
        <v>14</v>
      </c>
      <c r="AO19" s="73">
        <v>35</v>
      </c>
      <c r="AP19" s="72"/>
      <c r="AQ19" s="73"/>
      <c r="AR19" s="72"/>
      <c r="AS19" s="73"/>
      <c r="AT19" s="72">
        <v>14</v>
      </c>
      <c r="AU19" s="73">
        <v>32</v>
      </c>
      <c r="AV19" s="72">
        <v>14</v>
      </c>
      <c r="AW19" s="73">
        <v>22</v>
      </c>
      <c r="AX19" s="72"/>
      <c r="AY19" s="73"/>
      <c r="AZ19" s="72">
        <v>14</v>
      </c>
      <c r="BA19" s="73">
        <v>23</v>
      </c>
      <c r="BB19" s="72"/>
      <c r="BC19" s="73"/>
      <c r="BD19" s="72">
        <v>14</v>
      </c>
      <c r="BE19" s="73">
        <v>9</v>
      </c>
      <c r="BF19" s="72"/>
      <c r="BG19" s="73"/>
      <c r="BH19" s="72"/>
      <c r="BI19" s="73"/>
      <c r="BJ19" s="72"/>
      <c r="BK19" s="73"/>
      <c r="BL19" s="72"/>
      <c r="BM19" s="73"/>
      <c r="BN19" s="72"/>
      <c r="BO19" s="73"/>
      <c r="BP19" s="72"/>
      <c r="BQ19" s="73"/>
      <c r="BR19" s="72"/>
      <c r="BS19" s="73"/>
      <c r="BT19" s="72"/>
      <c r="BU19" s="73"/>
      <c r="BV19" s="72"/>
      <c r="BW19" s="73"/>
      <c r="BX19" s="72">
        <v>14</v>
      </c>
      <c r="BY19" s="73">
        <v>21</v>
      </c>
      <c r="BZ19" s="72"/>
      <c r="CA19" s="74"/>
      <c r="CB19" s="75">
        <v>14</v>
      </c>
      <c r="CC19" s="73">
        <v>36</v>
      </c>
      <c r="CD19" s="72">
        <v>14</v>
      </c>
      <c r="CE19" s="73">
        <v>72</v>
      </c>
      <c r="CF19" s="72">
        <v>14</v>
      </c>
      <c r="CG19" s="73">
        <v>35</v>
      </c>
      <c r="CH19" s="72">
        <v>14</v>
      </c>
      <c r="CI19" s="73">
        <v>31</v>
      </c>
      <c r="CJ19" s="72">
        <v>14</v>
      </c>
      <c r="CK19" s="73">
        <v>28</v>
      </c>
      <c r="CL19" s="72">
        <v>14</v>
      </c>
      <c r="CM19" s="73">
        <v>23</v>
      </c>
      <c r="CN19" s="72">
        <v>14</v>
      </c>
      <c r="CO19" s="73">
        <v>40</v>
      </c>
      <c r="CP19" s="72"/>
      <c r="CQ19" s="73"/>
      <c r="CR19" s="72"/>
      <c r="CS19" s="73"/>
      <c r="CT19" s="72"/>
      <c r="CU19" s="73"/>
      <c r="CV19" s="72"/>
      <c r="CW19" s="73"/>
      <c r="CX19" s="72"/>
      <c r="CY19" s="73"/>
      <c r="CZ19" s="72"/>
      <c r="DA19" s="73"/>
      <c r="DB19" s="72"/>
      <c r="DC19" s="73"/>
      <c r="DD19" s="72"/>
      <c r="DE19" s="73"/>
      <c r="DF19" s="72"/>
      <c r="DG19" s="73"/>
      <c r="DH19" s="72"/>
      <c r="DI19" s="73"/>
      <c r="DJ19" s="72"/>
      <c r="DK19" s="73"/>
      <c r="DL19" s="72"/>
      <c r="DM19" s="73"/>
      <c r="DN19" s="72"/>
      <c r="DO19" s="73"/>
      <c r="DP19" s="72"/>
      <c r="DQ19" s="73"/>
      <c r="DR19" s="72"/>
      <c r="DS19" s="73"/>
      <c r="DT19" s="72"/>
      <c r="DU19" s="73"/>
      <c r="DV19" s="72"/>
      <c r="DW19" s="73"/>
      <c r="DX19" s="72"/>
      <c r="DY19" s="73"/>
      <c r="DZ19" s="72"/>
      <c r="EA19" s="73"/>
      <c r="EB19" s="72">
        <v>14</v>
      </c>
      <c r="EC19" s="73">
        <v>20</v>
      </c>
    </row>
    <row r="20" spans="2:133" ht="13.15" x14ac:dyDescent="0.25">
      <c r="B20" s="72">
        <v>15</v>
      </c>
      <c r="C20" s="73">
        <v>21</v>
      </c>
      <c r="D20" s="72">
        <v>15</v>
      </c>
      <c r="E20" s="73">
        <v>27</v>
      </c>
      <c r="F20" s="72">
        <v>15</v>
      </c>
      <c r="G20" s="73">
        <v>33</v>
      </c>
      <c r="H20" s="72">
        <v>15</v>
      </c>
      <c r="I20" s="73">
        <v>41</v>
      </c>
      <c r="J20" s="72">
        <v>15</v>
      </c>
      <c r="K20" s="73">
        <v>23</v>
      </c>
      <c r="L20" s="72">
        <v>15</v>
      </c>
      <c r="M20" s="73">
        <v>63</v>
      </c>
      <c r="N20" s="72">
        <v>15</v>
      </c>
      <c r="O20" s="73">
        <v>20</v>
      </c>
      <c r="P20" s="72"/>
      <c r="Q20" s="73"/>
      <c r="R20" s="72">
        <v>15</v>
      </c>
      <c r="S20" s="73">
        <v>35</v>
      </c>
      <c r="T20" s="72">
        <v>15</v>
      </c>
      <c r="U20" s="73">
        <v>37</v>
      </c>
      <c r="V20" s="72">
        <v>15</v>
      </c>
      <c r="W20" s="73">
        <v>34</v>
      </c>
      <c r="X20" s="72">
        <v>15</v>
      </c>
      <c r="Y20" s="73">
        <v>38</v>
      </c>
      <c r="Z20" s="72">
        <v>15</v>
      </c>
      <c r="AA20" s="73">
        <v>29</v>
      </c>
      <c r="AB20" s="72">
        <v>15</v>
      </c>
      <c r="AC20" s="73">
        <v>19</v>
      </c>
      <c r="AD20" s="72"/>
      <c r="AE20" s="73"/>
      <c r="AF20" s="72"/>
      <c r="AG20" s="73"/>
      <c r="AH20" s="72"/>
      <c r="AI20" s="73"/>
      <c r="AJ20" s="72">
        <v>15</v>
      </c>
      <c r="AK20" s="73">
        <v>35</v>
      </c>
      <c r="AL20" s="72">
        <v>15</v>
      </c>
      <c r="AM20" s="73">
        <v>5</v>
      </c>
      <c r="AN20" s="72">
        <v>15</v>
      </c>
      <c r="AO20" s="73">
        <v>33</v>
      </c>
      <c r="AP20" s="72"/>
      <c r="AQ20" s="73"/>
      <c r="AR20" s="72"/>
      <c r="AS20" s="73"/>
      <c r="AT20" s="72">
        <v>15</v>
      </c>
      <c r="AU20" s="73">
        <v>9</v>
      </c>
      <c r="AV20" s="72">
        <v>15</v>
      </c>
      <c r="AW20" s="73">
        <v>21</v>
      </c>
      <c r="AX20" s="72"/>
      <c r="AY20" s="73"/>
      <c r="AZ20" s="72">
        <v>15</v>
      </c>
      <c r="BA20" s="73">
        <v>8</v>
      </c>
      <c r="BB20" s="72"/>
      <c r="BC20" s="73"/>
      <c r="BD20" s="72"/>
      <c r="BE20" s="73"/>
      <c r="BF20" s="72"/>
      <c r="BG20" s="73"/>
      <c r="BH20" s="72"/>
      <c r="BI20" s="73"/>
      <c r="BJ20" s="72"/>
      <c r="BK20" s="73"/>
      <c r="BL20" s="72"/>
      <c r="BM20" s="73"/>
      <c r="BN20" s="72"/>
      <c r="BO20" s="73"/>
      <c r="BP20" s="72"/>
      <c r="BQ20" s="73"/>
      <c r="BR20" s="72"/>
      <c r="BS20" s="73"/>
      <c r="BT20" s="72"/>
      <c r="BU20" s="73"/>
      <c r="BV20" s="72"/>
      <c r="BW20" s="73"/>
      <c r="BX20" s="72"/>
      <c r="BY20" s="73"/>
      <c r="BZ20" s="72"/>
      <c r="CA20" s="74"/>
      <c r="CB20" s="75">
        <v>15</v>
      </c>
      <c r="CC20" s="73">
        <v>39</v>
      </c>
      <c r="CD20" s="72">
        <v>15</v>
      </c>
      <c r="CE20" s="73">
        <v>47</v>
      </c>
      <c r="CF20" s="72">
        <v>15</v>
      </c>
      <c r="CG20" s="73">
        <v>32</v>
      </c>
      <c r="CH20" s="72">
        <v>15</v>
      </c>
      <c r="CI20" s="73">
        <v>27</v>
      </c>
      <c r="CJ20" s="72">
        <v>15</v>
      </c>
      <c r="CK20" s="73">
        <v>41</v>
      </c>
      <c r="CL20" s="72">
        <v>15</v>
      </c>
      <c r="CM20" s="73">
        <v>33</v>
      </c>
      <c r="CN20" s="72">
        <v>15</v>
      </c>
      <c r="CO20" s="73">
        <v>58</v>
      </c>
      <c r="CP20" s="72"/>
      <c r="CQ20" s="73"/>
      <c r="CR20" s="72"/>
      <c r="CS20" s="73"/>
      <c r="CT20" s="72"/>
      <c r="CU20" s="73"/>
      <c r="CV20" s="72"/>
      <c r="CW20" s="73"/>
      <c r="CX20" s="72"/>
      <c r="CY20" s="73"/>
      <c r="CZ20" s="72"/>
      <c r="DA20" s="73"/>
      <c r="DB20" s="72"/>
      <c r="DC20" s="73"/>
      <c r="DD20" s="72"/>
      <c r="DE20" s="73"/>
      <c r="DF20" s="72"/>
      <c r="DG20" s="73"/>
      <c r="DH20" s="72"/>
      <c r="DI20" s="73"/>
      <c r="DJ20" s="72"/>
      <c r="DK20" s="73"/>
      <c r="DL20" s="72"/>
      <c r="DM20" s="73"/>
      <c r="DN20" s="72"/>
      <c r="DO20" s="73"/>
      <c r="DP20" s="72"/>
      <c r="DQ20" s="73"/>
      <c r="DR20" s="72"/>
      <c r="DS20" s="73"/>
      <c r="DT20" s="72"/>
      <c r="DU20" s="73"/>
      <c r="DV20" s="72"/>
      <c r="DW20" s="73"/>
      <c r="DX20" s="72"/>
      <c r="DY20" s="73"/>
      <c r="DZ20" s="72"/>
      <c r="EA20" s="73"/>
      <c r="EB20" s="72">
        <v>15</v>
      </c>
      <c r="EC20" s="73">
        <v>8</v>
      </c>
    </row>
    <row r="21" spans="2:133" ht="13.15" x14ac:dyDescent="0.25">
      <c r="B21" s="72">
        <v>16</v>
      </c>
      <c r="C21" s="73">
        <v>16</v>
      </c>
      <c r="D21" s="72">
        <v>16</v>
      </c>
      <c r="E21" s="73">
        <v>36</v>
      </c>
      <c r="F21" s="72">
        <v>16</v>
      </c>
      <c r="G21" s="73">
        <v>34</v>
      </c>
      <c r="H21" s="72">
        <v>16</v>
      </c>
      <c r="I21" s="73">
        <v>50</v>
      </c>
      <c r="J21" s="72">
        <v>16</v>
      </c>
      <c r="K21" s="73">
        <v>22</v>
      </c>
      <c r="L21" s="72">
        <v>16</v>
      </c>
      <c r="M21" s="73">
        <v>10</v>
      </c>
      <c r="N21" s="72">
        <v>16</v>
      </c>
      <c r="O21" s="73">
        <v>31</v>
      </c>
      <c r="P21" s="72"/>
      <c r="Q21" s="73"/>
      <c r="R21" s="72">
        <v>16</v>
      </c>
      <c r="S21" s="73">
        <v>23</v>
      </c>
      <c r="T21" s="72">
        <v>16</v>
      </c>
      <c r="U21" s="73">
        <v>23</v>
      </c>
      <c r="V21" s="72">
        <v>16</v>
      </c>
      <c r="W21" s="73">
        <v>34</v>
      </c>
      <c r="X21" s="72">
        <v>16</v>
      </c>
      <c r="Y21" s="73">
        <v>20</v>
      </c>
      <c r="Z21" s="72">
        <v>16</v>
      </c>
      <c r="AA21" s="73">
        <v>43</v>
      </c>
      <c r="AB21" s="72">
        <v>16</v>
      </c>
      <c r="AC21" s="73">
        <v>14</v>
      </c>
      <c r="AD21" s="72"/>
      <c r="AE21" s="73"/>
      <c r="AF21" s="72"/>
      <c r="AG21" s="73"/>
      <c r="AH21" s="72"/>
      <c r="AI21" s="73"/>
      <c r="AJ21" s="72">
        <v>16</v>
      </c>
      <c r="AK21" s="73">
        <v>22</v>
      </c>
      <c r="AL21" s="72">
        <v>16</v>
      </c>
      <c r="AM21" s="73">
        <v>11</v>
      </c>
      <c r="AN21" s="72">
        <v>16</v>
      </c>
      <c r="AO21" s="73">
        <v>33</v>
      </c>
      <c r="AP21" s="72"/>
      <c r="AQ21" s="73"/>
      <c r="AR21" s="72"/>
      <c r="AS21" s="73"/>
      <c r="AT21" s="72">
        <v>16</v>
      </c>
      <c r="AU21" s="73">
        <v>14</v>
      </c>
      <c r="AV21" s="72">
        <v>16</v>
      </c>
      <c r="AW21" s="73">
        <v>21</v>
      </c>
      <c r="AX21" s="72"/>
      <c r="AY21" s="73"/>
      <c r="AZ21" s="72">
        <v>16</v>
      </c>
      <c r="BA21" s="73">
        <v>63</v>
      </c>
      <c r="BB21" s="72"/>
      <c r="BC21" s="73"/>
      <c r="BD21" s="72"/>
      <c r="BE21" s="73"/>
      <c r="BF21" s="72"/>
      <c r="BG21" s="73"/>
      <c r="BH21" s="72"/>
      <c r="BI21" s="73"/>
      <c r="BJ21" s="72"/>
      <c r="BK21" s="73"/>
      <c r="BL21" s="72"/>
      <c r="BM21" s="73"/>
      <c r="BN21" s="72"/>
      <c r="BO21" s="73"/>
      <c r="BP21" s="72"/>
      <c r="BQ21" s="73"/>
      <c r="BR21" s="72"/>
      <c r="BS21" s="73"/>
      <c r="BT21" s="72"/>
      <c r="BU21" s="73"/>
      <c r="BV21" s="72"/>
      <c r="BW21" s="73"/>
      <c r="BX21" s="72"/>
      <c r="BY21" s="73"/>
      <c r="BZ21" s="72"/>
      <c r="CA21" s="74"/>
      <c r="CB21" s="75">
        <v>16</v>
      </c>
      <c r="CC21" s="73">
        <v>28</v>
      </c>
      <c r="CD21" s="72">
        <v>16</v>
      </c>
      <c r="CE21" s="73">
        <v>20</v>
      </c>
      <c r="CF21" s="72">
        <v>16</v>
      </c>
      <c r="CG21" s="73">
        <v>31</v>
      </c>
      <c r="CH21" s="72">
        <v>16</v>
      </c>
      <c r="CI21" s="73">
        <v>33</v>
      </c>
      <c r="CJ21" s="72">
        <v>16</v>
      </c>
      <c r="CK21" s="73">
        <v>40</v>
      </c>
      <c r="CL21" s="72">
        <v>16</v>
      </c>
      <c r="CM21" s="73">
        <v>27</v>
      </c>
      <c r="CN21" s="72">
        <v>16</v>
      </c>
      <c r="CO21" s="73">
        <v>24</v>
      </c>
      <c r="CP21" s="72"/>
      <c r="CQ21" s="73"/>
      <c r="CR21" s="72"/>
      <c r="CS21" s="73"/>
      <c r="CT21" s="72"/>
      <c r="CU21" s="73"/>
      <c r="CV21" s="72"/>
      <c r="CW21" s="73"/>
      <c r="CX21" s="72"/>
      <c r="CY21" s="73"/>
      <c r="CZ21" s="72"/>
      <c r="DA21" s="73"/>
      <c r="DB21" s="72"/>
      <c r="DC21" s="73"/>
      <c r="DD21" s="72"/>
      <c r="DE21" s="73"/>
      <c r="DF21" s="72"/>
      <c r="DG21" s="73"/>
      <c r="DH21" s="72"/>
      <c r="DI21" s="73"/>
      <c r="DJ21" s="72"/>
      <c r="DK21" s="73"/>
      <c r="DL21" s="72"/>
      <c r="DM21" s="73"/>
      <c r="DN21" s="72"/>
      <c r="DO21" s="73"/>
      <c r="DP21" s="72"/>
      <c r="DQ21" s="73"/>
      <c r="DR21" s="72"/>
      <c r="DS21" s="73"/>
      <c r="DT21" s="72"/>
      <c r="DU21" s="73"/>
      <c r="DV21" s="72"/>
      <c r="DW21" s="73"/>
      <c r="DX21" s="72"/>
      <c r="DY21" s="73"/>
      <c r="DZ21" s="72"/>
      <c r="EA21" s="73"/>
      <c r="EB21" s="72">
        <v>16</v>
      </c>
      <c r="EC21" s="73">
        <v>21</v>
      </c>
    </row>
    <row r="22" spans="2:133" ht="13.15" x14ac:dyDescent="0.25">
      <c r="B22" s="72">
        <v>17</v>
      </c>
      <c r="C22" s="73">
        <v>27</v>
      </c>
      <c r="D22" s="72">
        <v>17</v>
      </c>
      <c r="E22" s="73">
        <v>16</v>
      </c>
      <c r="F22" s="72">
        <v>17</v>
      </c>
      <c r="G22" s="73">
        <v>16</v>
      </c>
      <c r="H22" s="72">
        <v>17</v>
      </c>
      <c r="I22" s="73">
        <v>13</v>
      </c>
      <c r="J22" s="72">
        <v>17</v>
      </c>
      <c r="K22" s="73">
        <v>20</v>
      </c>
      <c r="L22" s="72">
        <v>17</v>
      </c>
      <c r="M22" s="73">
        <v>18</v>
      </c>
      <c r="N22" s="72">
        <v>17</v>
      </c>
      <c r="O22" s="73">
        <v>13</v>
      </c>
      <c r="P22" s="72"/>
      <c r="Q22" s="73"/>
      <c r="R22" s="72">
        <v>17</v>
      </c>
      <c r="S22" s="73">
        <v>58</v>
      </c>
      <c r="T22" s="72">
        <v>17</v>
      </c>
      <c r="U22" s="73">
        <v>29</v>
      </c>
      <c r="V22" s="72">
        <v>17</v>
      </c>
      <c r="W22" s="73">
        <v>24</v>
      </c>
      <c r="X22" s="72">
        <v>17</v>
      </c>
      <c r="Y22" s="73">
        <v>41</v>
      </c>
      <c r="Z22" s="72">
        <v>17</v>
      </c>
      <c r="AA22" s="73">
        <v>27</v>
      </c>
      <c r="AB22" s="72">
        <v>17</v>
      </c>
      <c r="AC22" s="73">
        <v>19</v>
      </c>
      <c r="AD22" s="72"/>
      <c r="AE22" s="73"/>
      <c r="AF22" s="72"/>
      <c r="AG22" s="73"/>
      <c r="AH22" s="72"/>
      <c r="AI22" s="73"/>
      <c r="AJ22" s="72">
        <v>17</v>
      </c>
      <c r="AK22" s="73">
        <v>16</v>
      </c>
      <c r="AL22" s="72">
        <v>17</v>
      </c>
      <c r="AM22" s="73">
        <v>15</v>
      </c>
      <c r="AN22" s="72">
        <v>17</v>
      </c>
      <c r="AO22" s="73">
        <v>28</v>
      </c>
      <c r="AP22" s="72"/>
      <c r="AQ22" s="73"/>
      <c r="AR22" s="72"/>
      <c r="AS22" s="73"/>
      <c r="AT22" s="72">
        <v>17</v>
      </c>
      <c r="AU22" s="73">
        <v>14</v>
      </c>
      <c r="AV22" s="72">
        <v>17</v>
      </c>
      <c r="AW22" s="73">
        <v>27</v>
      </c>
      <c r="AX22" s="72"/>
      <c r="AY22" s="73"/>
      <c r="AZ22" s="72">
        <v>17</v>
      </c>
      <c r="BA22" s="73">
        <v>24</v>
      </c>
      <c r="BB22" s="72"/>
      <c r="BC22" s="73"/>
      <c r="BD22" s="72"/>
      <c r="BE22" s="73"/>
      <c r="BF22" s="72"/>
      <c r="BG22" s="73"/>
      <c r="BH22" s="72"/>
      <c r="BI22" s="73"/>
      <c r="BJ22" s="72"/>
      <c r="BK22" s="73"/>
      <c r="BL22" s="72"/>
      <c r="BM22" s="73"/>
      <c r="BN22" s="72"/>
      <c r="BO22" s="73"/>
      <c r="BP22" s="72"/>
      <c r="BQ22" s="73"/>
      <c r="BR22" s="72"/>
      <c r="BS22" s="73"/>
      <c r="BT22" s="72"/>
      <c r="BU22" s="73"/>
      <c r="BV22" s="72"/>
      <c r="BW22" s="73"/>
      <c r="BX22" s="72"/>
      <c r="BY22" s="73"/>
      <c r="BZ22" s="72"/>
      <c r="CA22" s="74"/>
      <c r="CB22" s="75">
        <v>17</v>
      </c>
      <c r="CC22" s="73">
        <v>27</v>
      </c>
      <c r="CD22" s="72"/>
      <c r="CE22" s="73"/>
      <c r="CF22" s="72">
        <v>17</v>
      </c>
      <c r="CG22" s="73">
        <v>37</v>
      </c>
      <c r="CH22" s="72">
        <v>17</v>
      </c>
      <c r="CI22" s="73">
        <v>26</v>
      </c>
      <c r="CJ22" s="72">
        <v>17</v>
      </c>
      <c r="CK22" s="73">
        <v>34</v>
      </c>
      <c r="CL22" s="72"/>
      <c r="CM22" s="73"/>
      <c r="CN22" s="72"/>
      <c r="CO22" s="73"/>
      <c r="CP22" s="72"/>
      <c r="CQ22" s="73"/>
      <c r="CR22" s="72"/>
      <c r="CS22" s="73"/>
      <c r="CT22" s="72"/>
      <c r="CU22" s="73"/>
      <c r="CV22" s="72"/>
      <c r="CW22" s="73"/>
      <c r="CX22" s="72"/>
      <c r="CY22" s="73"/>
      <c r="CZ22" s="72"/>
      <c r="DA22" s="73"/>
      <c r="DB22" s="72"/>
      <c r="DC22" s="73"/>
      <c r="DD22" s="72"/>
      <c r="DE22" s="73"/>
      <c r="DF22" s="72"/>
      <c r="DG22" s="73"/>
      <c r="DH22" s="72"/>
      <c r="DI22" s="73"/>
      <c r="DJ22" s="72"/>
      <c r="DK22" s="73"/>
      <c r="DL22" s="72"/>
      <c r="DM22" s="73"/>
      <c r="DN22" s="72"/>
      <c r="DO22" s="73"/>
      <c r="DP22" s="72"/>
      <c r="DQ22" s="73"/>
      <c r="DR22" s="72"/>
      <c r="DS22" s="73"/>
      <c r="DT22" s="72"/>
      <c r="DU22" s="73"/>
      <c r="DV22" s="72"/>
      <c r="DW22" s="73"/>
      <c r="DX22" s="72"/>
      <c r="DY22" s="73"/>
      <c r="DZ22" s="72"/>
      <c r="EA22" s="73"/>
      <c r="EB22" s="72">
        <v>17</v>
      </c>
      <c r="EC22" s="73">
        <v>18</v>
      </c>
    </row>
    <row r="23" spans="2:133" ht="13.15" x14ac:dyDescent="0.25">
      <c r="B23" s="72">
        <v>18</v>
      </c>
      <c r="C23" s="73">
        <v>33</v>
      </c>
      <c r="D23" s="72">
        <v>18</v>
      </c>
      <c r="E23" s="73">
        <v>27</v>
      </c>
      <c r="F23" s="72">
        <v>18</v>
      </c>
      <c r="G23" s="73">
        <v>30</v>
      </c>
      <c r="H23" s="72">
        <v>18</v>
      </c>
      <c r="I23" s="73">
        <v>32</v>
      </c>
      <c r="J23" s="72">
        <v>18</v>
      </c>
      <c r="K23" s="73">
        <v>22</v>
      </c>
      <c r="L23" s="72">
        <v>18</v>
      </c>
      <c r="M23" s="73">
        <v>28</v>
      </c>
      <c r="N23" s="72">
        <v>18</v>
      </c>
      <c r="O23" s="73">
        <v>31</v>
      </c>
      <c r="P23" s="72"/>
      <c r="Q23" s="73"/>
      <c r="R23" s="72">
        <v>18</v>
      </c>
      <c r="S23" s="73">
        <v>30</v>
      </c>
      <c r="T23" s="72">
        <v>18</v>
      </c>
      <c r="U23" s="73">
        <v>33</v>
      </c>
      <c r="V23" s="72">
        <v>18</v>
      </c>
      <c r="W23" s="73">
        <v>46</v>
      </c>
      <c r="X23" s="72">
        <v>18</v>
      </c>
      <c r="Y23" s="73">
        <v>37</v>
      </c>
      <c r="Z23" s="72">
        <v>18</v>
      </c>
      <c r="AA23" s="73">
        <v>17</v>
      </c>
      <c r="AB23" s="72">
        <v>18</v>
      </c>
      <c r="AC23" s="73">
        <v>34</v>
      </c>
      <c r="AD23" s="72"/>
      <c r="AE23" s="73"/>
      <c r="AF23" s="72"/>
      <c r="AG23" s="73"/>
      <c r="AH23" s="72"/>
      <c r="AI23" s="73"/>
      <c r="AJ23" s="72">
        <v>18</v>
      </c>
      <c r="AK23" s="73">
        <v>21</v>
      </c>
      <c r="AL23" s="72">
        <v>18</v>
      </c>
      <c r="AM23" s="73">
        <v>50</v>
      </c>
      <c r="AN23" s="72">
        <v>18</v>
      </c>
      <c r="AO23" s="73">
        <v>24</v>
      </c>
      <c r="AP23" s="72"/>
      <c r="AQ23" s="73"/>
      <c r="AR23" s="72"/>
      <c r="AS23" s="73"/>
      <c r="AT23" s="72">
        <v>18</v>
      </c>
      <c r="AU23" s="73">
        <v>7</v>
      </c>
      <c r="AV23" s="72">
        <v>18</v>
      </c>
      <c r="AW23" s="73">
        <v>23</v>
      </c>
      <c r="AX23" s="72"/>
      <c r="AY23" s="73"/>
      <c r="AZ23" s="72">
        <v>18</v>
      </c>
      <c r="BA23" s="73">
        <v>32</v>
      </c>
      <c r="BB23" s="72"/>
      <c r="BC23" s="73"/>
      <c r="BD23" s="72"/>
      <c r="BE23" s="73"/>
      <c r="BF23" s="72"/>
      <c r="BG23" s="73"/>
      <c r="BH23" s="72"/>
      <c r="BI23" s="73"/>
      <c r="BJ23" s="72"/>
      <c r="BK23" s="73"/>
      <c r="BL23" s="72"/>
      <c r="BM23" s="73"/>
      <c r="BN23" s="72"/>
      <c r="BO23" s="73"/>
      <c r="BP23" s="72"/>
      <c r="BQ23" s="73"/>
      <c r="BR23" s="72"/>
      <c r="BS23" s="73"/>
      <c r="BT23" s="72"/>
      <c r="BU23" s="73"/>
      <c r="BV23" s="72"/>
      <c r="BW23" s="73"/>
      <c r="BX23" s="72"/>
      <c r="BY23" s="73"/>
      <c r="BZ23" s="72"/>
      <c r="CA23" s="74"/>
      <c r="CB23" s="75">
        <v>18</v>
      </c>
      <c r="CC23" s="73">
        <v>35</v>
      </c>
      <c r="CD23" s="72"/>
      <c r="CE23" s="73"/>
      <c r="CF23" s="72">
        <v>18</v>
      </c>
      <c r="CG23" s="73">
        <v>43</v>
      </c>
      <c r="CH23" s="72">
        <v>18</v>
      </c>
      <c r="CI23" s="73">
        <v>40</v>
      </c>
      <c r="CJ23" s="72">
        <v>18</v>
      </c>
      <c r="CK23" s="73">
        <v>28</v>
      </c>
      <c r="CL23" s="72"/>
      <c r="CM23" s="73"/>
      <c r="CN23" s="72"/>
      <c r="CO23" s="73"/>
      <c r="CP23" s="72"/>
      <c r="CQ23" s="73"/>
      <c r="CR23" s="72"/>
      <c r="CS23" s="73"/>
      <c r="CT23" s="72"/>
      <c r="CU23" s="73"/>
      <c r="CV23" s="72"/>
      <c r="CW23" s="73"/>
      <c r="CX23" s="72"/>
      <c r="CY23" s="73"/>
      <c r="CZ23" s="72"/>
      <c r="DA23" s="73"/>
      <c r="DB23" s="72"/>
      <c r="DC23" s="73"/>
      <c r="DD23" s="72"/>
      <c r="DE23" s="73"/>
      <c r="DF23" s="72"/>
      <c r="DG23" s="73"/>
      <c r="DH23" s="72"/>
      <c r="DI23" s="73"/>
      <c r="DJ23" s="72"/>
      <c r="DK23" s="73"/>
      <c r="DL23" s="72"/>
      <c r="DM23" s="73"/>
      <c r="DN23" s="72"/>
      <c r="DO23" s="73"/>
      <c r="DP23" s="72"/>
      <c r="DQ23" s="73"/>
      <c r="DR23" s="72"/>
      <c r="DS23" s="73"/>
      <c r="DT23" s="72"/>
      <c r="DU23" s="73"/>
      <c r="DV23" s="72"/>
      <c r="DW23" s="73"/>
      <c r="DX23" s="72"/>
      <c r="DY23" s="73"/>
      <c r="DZ23" s="72"/>
      <c r="EA23" s="73"/>
      <c r="EB23" s="72">
        <v>18</v>
      </c>
      <c r="EC23" s="73">
        <v>24</v>
      </c>
    </row>
    <row r="24" spans="2:133" ht="13.15" x14ac:dyDescent="0.25">
      <c r="B24" s="72">
        <v>19</v>
      </c>
      <c r="C24" s="73">
        <v>38</v>
      </c>
      <c r="D24" s="72">
        <v>19</v>
      </c>
      <c r="E24" s="73">
        <v>25</v>
      </c>
      <c r="F24" s="72">
        <v>19</v>
      </c>
      <c r="G24" s="73">
        <v>37</v>
      </c>
      <c r="H24" s="72">
        <v>19</v>
      </c>
      <c r="I24" s="73">
        <v>22</v>
      </c>
      <c r="J24" s="72">
        <v>19</v>
      </c>
      <c r="K24" s="73">
        <v>21</v>
      </c>
      <c r="L24" s="72">
        <v>19</v>
      </c>
      <c r="M24" s="73">
        <v>51</v>
      </c>
      <c r="N24" s="72">
        <v>19</v>
      </c>
      <c r="O24" s="73">
        <v>30</v>
      </c>
      <c r="P24" s="72"/>
      <c r="Q24" s="73"/>
      <c r="R24" s="72">
        <v>19</v>
      </c>
      <c r="S24" s="73">
        <v>24</v>
      </c>
      <c r="T24" s="72">
        <v>19</v>
      </c>
      <c r="U24" s="73">
        <v>43</v>
      </c>
      <c r="V24" s="72">
        <v>19</v>
      </c>
      <c r="W24" s="73">
        <v>21</v>
      </c>
      <c r="X24" s="72">
        <v>19</v>
      </c>
      <c r="Y24" s="73">
        <v>37</v>
      </c>
      <c r="Z24" s="72">
        <v>19</v>
      </c>
      <c r="AA24" s="73">
        <v>19</v>
      </c>
      <c r="AB24" s="72">
        <v>19</v>
      </c>
      <c r="AC24" s="73">
        <v>11</v>
      </c>
      <c r="AD24" s="72"/>
      <c r="AE24" s="73"/>
      <c r="AF24" s="72"/>
      <c r="AG24" s="73"/>
      <c r="AH24" s="72"/>
      <c r="AI24" s="73"/>
      <c r="AJ24" s="72">
        <v>19</v>
      </c>
      <c r="AK24" s="73">
        <v>29</v>
      </c>
      <c r="AL24" s="72">
        <v>19</v>
      </c>
      <c r="AM24" s="73">
        <v>14</v>
      </c>
      <c r="AN24" s="72">
        <v>19</v>
      </c>
      <c r="AO24" s="73">
        <v>29</v>
      </c>
      <c r="AP24" s="72"/>
      <c r="AQ24" s="73"/>
      <c r="AR24" s="72"/>
      <c r="AS24" s="73"/>
      <c r="AT24" s="72">
        <v>19</v>
      </c>
      <c r="AU24" s="73">
        <v>25</v>
      </c>
      <c r="AV24" s="72">
        <v>19</v>
      </c>
      <c r="AW24" s="73">
        <v>15</v>
      </c>
      <c r="AX24" s="72"/>
      <c r="AY24" s="73"/>
      <c r="AZ24" s="72">
        <v>19</v>
      </c>
      <c r="BA24" s="73">
        <v>14</v>
      </c>
      <c r="BB24" s="72"/>
      <c r="BC24" s="73"/>
      <c r="BD24" s="72"/>
      <c r="BE24" s="73"/>
      <c r="BF24" s="72"/>
      <c r="BG24" s="73"/>
      <c r="BH24" s="72"/>
      <c r="BI24" s="73"/>
      <c r="BJ24" s="72"/>
      <c r="BK24" s="73"/>
      <c r="BL24" s="72"/>
      <c r="BM24" s="73"/>
      <c r="BN24" s="72"/>
      <c r="BO24" s="73"/>
      <c r="BP24" s="72"/>
      <c r="BQ24" s="73"/>
      <c r="BR24" s="72"/>
      <c r="BS24" s="73"/>
      <c r="BT24" s="72"/>
      <c r="BU24" s="73"/>
      <c r="BV24" s="72"/>
      <c r="BW24" s="73"/>
      <c r="BX24" s="72"/>
      <c r="BY24" s="73"/>
      <c r="BZ24" s="72"/>
      <c r="CA24" s="74"/>
      <c r="CB24" s="75">
        <v>19</v>
      </c>
      <c r="CC24" s="73">
        <v>30</v>
      </c>
      <c r="CD24" s="72"/>
      <c r="CE24" s="73"/>
      <c r="CF24" s="72">
        <v>19</v>
      </c>
      <c r="CG24" s="73">
        <v>48</v>
      </c>
      <c r="CH24" s="72">
        <v>19</v>
      </c>
      <c r="CI24" s="73">
        <v>42</v>
      </c>
      <c r="CJ24" s="72">
        <v>19</v>
      </c>
      <c r="CK24" s="73">
        <v>41</v>
      </c>
      <c r="CL24" s="72"/>
      <c r="CM24" s="73"/>
      <c r="CN24" s="72"/>
      <c r="CO24" s="73"/>
      <c r="CP24" s="72"/>
      <c r="CQ24" s="73"/>
      <c r="CR24" s="72"/>
      <c r="CS24" s="73"/>
      <c r="CT24" s="72"/>
      <c r="CU24" s="73"/>
      <c r="CV24" s="72"/>
      <c r="CW24" s="73"/>
      <c r="CX24" s="72"/>
      <c r="CY24" s="73"/>
      <c r="CZ24" s="72"/>
      <c r="DA24" s="73"/>
      <c r="DB24" s="72"/>
      <c r="DC24" s="73"/>
      <c r="DD24" s="72"/>
      <c r="DE24" s="73"/>
      <c r="DF24" s="72"/>
      <c r="DG24" s="73"/>
      <c r="DH24" s="72"/>
      <c r="DI24" s="73"/>
      <c r="DJ24" s="72"/>
      <c r="DK24" s="73"/>
      <c r="DL24" s="72"/>
      <c r="DM24" s="73"/>
      <c r="DN24" s="72"/>
      <c r="DO24" s="73"/>
      <c r="DP24" s="72"/>
      <c r="DQ24" s="73"/>
      <c r="DR24" s="72"/>
      <c r="DS24" s="73"/>
      <c r="DT24" s="72"/>
      <c r="DU24" s="73"/>
      <c r="DV24" s="72"/>
      <c r="DW24" s="73"/>
      <c r="DX24" s="72"/>
      <c r="DY24" s="73"/>
      <c r="DZ24" s="72"/>
      <c r="EA24" s="73"/>
      <c r="EB24" s="72">
        <v>19</v>
      </c>
      <c r="EC24" s="73">
        <v>21</v>
      </c>
    </row>
    <row r="25" spans="2:133" ht="13.15" x14ac:dyDescent="0.25">
      <c r="B25" s="72">
        <v>20</v>
      </c>
      <c r="C25" s="73">
        <v>18</v>
      </c>
      <c r="D25" s="72">
        <v>20</v>
      </c>
      <c r="E25" s="73">
        <v>26</v>
      </c>
      <c r="F25" s="72">
        <v>20</v>
      </c>
      <c r="G25" s="73">
        <v>27</v>
      </c>
      <c r="H25" s="72">
        <v>20</v>
      </c>
      <c r="I25" s="73">
        <v>29</v>
      </c>
      <c r="J25" s="72">
        <v>20</v>
      </c>
      <c r="K25" s="73">
        <v>20</v>
      </c>
      <c r="L25" s="72">
        <v>20</v>
      </c>
      <c r="M25" s="73">
        <v>9</v>
      </c>
      <c r="N25" s="72">
        <v>20</v>
      </c>
      <c r="O25" s="73">
        <v>48</v>
      </c>
      <c r="P25" s="72"/>
      <c r="Q25" s="73"/>
      <c r="R25" s="72">
        <v>20</v>
      </c>
      <c r="S25" s="73">
        <v>42</v>
      </c>
      <c r="T25" s="72">
        <v>20</v>
      </c>
      <c r="U25" s="73">
        <v>26</v>
      </c>
      <c r="V25" s="72">
        <v>20</v>
      </c>
      <c r="W25" s="73">
        <v>43</v>
      </c>
      <c r="X25" s="72">
        <v>20</v>
      </c>
      <c r="Y25" s="73">
        <v>21</v>
      </c>
      <c r="Z25" s="72">
        <v>20</v>
      </c>
      <c r="AA25" s="73">
        <v>8</v>
      </c>
      <c r="AB25" s="72">
        <v>20</v>
      </c>
      <c r="AC25" s="73">
        <v>37</v>
      </c>
      <c r="AD25" s="72"/>
      <c r="AE25" s="73"/>
      <c r="AF25" s="72"/>
      <c r="AG25" s="73"/>
      <c r="AH25" s="72"/>
      <c r="AI25" s="73"/>
      <c r="AJ25" s="72">
        <v>20</v>
      </c>
      <c r="AK25" s="73">
        <v>29</v>
      </c>
      <c r="AL25" s="72">
        <v>20</v>
      </c>
      <c r="AM25" s="73">
        <v>9</v>
      </c>
      <c r="AN25" s="72">
        <v>20</v>
      </c>
      <c r="AO25" s="73">
        <v>30</v>
      </c>
      <c r="AP25" s="72"/>
      <c r="AQ25" s="73"/>
      <c r="AR25" s="72"/>
      <c r="AS25" s="73"/>
      <c r="AT25" s="72">
        <v>20</v>
      </c>
      <c r="AU25" s="73">
        <v>6</v>
      </c>
      <c r="AV25" s="72">
        <v>20</v>
      </c>
      <c r="AW25" s="73">
        <v>18</v>
      </c>
      <c r="AX25" s="72"/>
      <c r="AY25" s="73"/>
      <c r="AZ25" s="72">
        <v>20</v>
      </c>
      <c r="BA25" s="73">
        <v>49</v>
      </c>
      <c r="BB25" s="72"/>
      <c r="BC25" s="73"/>
      <c r="BD25" s="72"/>
      <c r="BE25" s="73"/>
      <c r="BF25" s="72"/>
      <c r="BG25" s="73"/>
      <c r="BH25" s="72"/>
      <c r="BI25" s="73"/>
      <c r="BJ25" s="72"/>
      <c r="BK25" s="73"/>
      <c r="BL25" s="72"/>
      <c r="BM25" s="73"/>
      <c r="BN25" s="72"/>
      <c r="BO25" s="73"/>
      <c r="BP25" s="72"/>
      <c r="BQ25" s="73"/>
      <c r="BR25" s="72"/>
      <c r="BS25" s="73"/>
      <c r="BT25" s="72"/>
      <c r="BU25" s="73"/>
      <c r="BV25" s="72"/>
      <c r="BW25" s="73"/>
      <c r="BX25" s="72"/>
      <c r="BY25" s="73"/>
      <c r="BZ25" s="72"/>
      <c r="CA25" s="74"/>
      <c r="CB25" s="75">
        <v>20</v>
      </c>
      <c r="CC25" s="73">
        <v>34</v>
      </c>
      <c r="CD25" s="72"/>
      <c r="CE25" s="73"/>
      <c r="CF25" s="72">
        <v>20</v>
      </c>
      <c r="CG25" s="73">
        <v>47</v>
      </c>
      <c r="CH25" s="72">
        <v>20</v>
      </c>
      <c r="CI25" s="73">
        <v>31</v>
      </c>
      <c r="CJ25" s="72">
        <v>20</v>
      </c>
      <c r="CK25" s="73">
        <v>38</v>
      </c>
      <c r="CL25" s="72"/>
      <c r="CM25" s="73"/>
      <c r="CN25" s="72"/>
      <c r="CO25" s="73"/>
      <c r="CP25" s="72"/>
      <c r="CQ25" s="73"/>
      <c r="CR25" s="72"/>
      <c r="CS25" s="73"/>
      <c r="CT25" s="72"/>
      <c r="CU25" s="73"/>
      <c r="CV25" s="72"/>
      <c r="CW25" s="73"/>
      <c r="CX25" s="72"/>
      <c r="CY25" s="73"/>
      <c r="CZ25" s="72"/>
      <c r="DA25" s="73"/>
      <c r="DB25" s="72"/>
      <c r="DC25" s="73"/>
      <c r="DD25" s="72"/>
      <c r="DE25" s="73"/>
      <c r="DF25" s="72"/>
      <c r="DG25" s="73"/>
      <c r="DH25" s="72"/>
      <c r="DI25" s="73"/>
      <c r="DJ25" s="72"/>
      <c r="DK25" s="73"/>
      <c r="DL25" s="72"/>
      <c r="DM25" s="73"/>
      <c r="DN25" s="72"/>
      <c r="DO25" s="73"/>
      <c r="DP25" s="72"/>
      <c r="DQ25" s="73"/>
      <c r="DR25" s="72"/>
      <c r="DS25" s="73"/>
      <c r="DT25" s="72"/>
      <c r="DU25" s="73"/>
      <c r="DV25" s="72"/>
      <c r="DW25" s="73"/>
      <c r="DX25" s="72"/>
      <c r="DY25" s="73"/>
      <c r="DZ25" s="72"/>
      <c r="EA25" s="73"/>
      <c r="EB25" s="72">
        <v>20</v>
      </c>
      <c r="EC25" s="73">
        <v>15</v>
      </c>
    </row>
    <row r="26" spans="2:133" ht="13.15" x14ac:dyDescent="0.25">
      <c r="B26" s="72">
        <v>21</v>
      </c>
      <c r="C26" s="73">
        <v>34</v>
      </c>
      <c r="D26" s="72">
        <v>21</v>
      </c>
      <c r="E26" s="73">
        <v>36</v>
      </c>
      <c r="F26" s="72">
        <v>21</v>
      </c>
      <c r="G26" s="73">
        <v>24</v>
      </c>
      <c r="H26" s="72">
        <v>21</v>
      </c>
      <c r="I26" s="73">
        <v>35</v>
      </c>
      <c r="J26" s="72">
        <v>21</v>
      </c>
      <c r="K26" s="73">
        <v>23</v>
      </c>
      <c r="L26" s="72">
        <v>21</v>
      </c>
      <c r="M26" s="73">
        <v>45</v>
      </c>
      <c r="N26" s="72">
        <v>21</v>
      </c>
      <c r="O26" s="73">
        <v>25</v>
      </c>
      <c r="P26" s="72"/>
      <c r="Q26" s="73"/>
      <c r="R26" s="72">
        <v>21</v>
      </c>
      <c r="S26" s="73">
        <v>15</v>
      </c>
      <c r="T26" s="72">
        <v>21</v>
      </c>
      <c r="U26" s="73">
        <v>22</v>
      </c>
      <c r="V26" s="72">
        <v>21</v>
      </c>
      <c r="W26" s="73">
        <v>29</v>
      </c>
      <c r="X26" s="72">
        <v>21</v>
      </c>
      <c r="Y26" s="73">
        <v>26</v>
      </c>
      <c r="Z26" s="72">
        <v>21</v>
      </c>
      <c r="AA26" s="73">
        <v>30</v>
      </c>
      <c r="AB26" s="72">
        <v>21</v>
      </c>
      <c r="AC26" s="73">
        <v>20</v>
      </c>
      <c r="AD26" s="72"/>
      <c r="AE26" s="73"/>
      <c r="AF26" s="72"/>
      <c r="AG26" s="73"/>
      <c r="AH26" s="72"/>
      <c r="AI26" s="73"/>
      <c r="AJ26" s="72">
        <v>21</v>
      </c>
      <c r="AK26" s="73">
        <v>34</v>
      </c>
      <c r="AL26" s="72">
        <v>21</v>
      </c>
      <c r="AM26" s="73">
        <v>13</v>
      </c>
      <c r="AN26" s="72">
        <v>21</v>
      </c>
      <c r="AO26" s="73">
        <v>31</v>
      </c>
      <c r="AP26" s="72"/>
      <c r="AQ26" s="73"/>
      <c r="AR26" s="72"/>
      <c r="AS26" s="73"/>
      <c r="AT26" s="72">
        <v>21</v>
      </c>
      <c r="AU26" s="73">
        <v>17</v>
      </c>
      <c r="AV26" s="72">
        <v>21</v>
      </c>
      <c r="AW26" s="73">
        <v>14</v>
      </c>
      <c r="AX26" s="72"/>
      <c r="AY26" s="73"/>
      <c r="AZ26" s="72">
        <v>21</v>
      </c>
      <c r="BA26" s="73">
        <v>32</v>
      </c>
      <c r="BB26" s="72"/>
      <c r="BC26" s="73"/>
      <c r="BD26" s="72"/>
      <c r="BE26" s="73"/>
      <c r="BF26" s="72"/>
      <c r="BG26" s="73"/>
      <c r="BH26" s="72"/>
      <c r="BI26" s="73"/>
      <c r="BJ26" s="72"/>
      <c r="BK26" s="73"/>
      <c r="BL26" s="72"/>
      <c r="BM26" s="73"/>
      <c r="BN26" s="72"/>
      <c r="BO26" s="73"/>
      <c r="BP26" s="72"/>
      <c r="BQ26" s="73"/>
      <c r="BR26" s="72"/>
      <c r="BS26" s="73"/>
      <c r="BT26" s="72"/>
      <c r="BU26" s="73"/>
      <c r="BV26" s="72"/>
      <c r="BW26" s="73"/>
      <c r="BX26" s="72"/>
      <c r="BY26" s="73"/>
      <c r="BZ26" s="72"/>
      <c r="CA26" s="74"/>
      <c r="CB26" s="75">
        <v>21</v>
      </c>
      <c r="CC26" s="73">
        <v>46</v>
      </c>
      <c r="CD26" s="72"/>
      <c r="CE26" s="73"/>
      <c r="CF26" s="72">
        <v>21</v>
      </c>
      <c r="CG26" s="73">
        <v>38</v>
      </c>
      <c r="CH26" s="72">
        <v>21</v>
      </c>
      <c r="CI26" s="73">
        <v>25</v>
      </c>
      <c r="CJ26" s="72">
        <v>21</v>
      </c>
      <c r="CK26" s="73">
        <v>40</v>
      </c>
      <c r="CL26" s="72"/>
      <c r="CM26" s="73"/>
      <c r="CN26" s="72"/>
      <c r="CO26" s="73"/>
      <c r="CP26" s="72"/>
      <c r="CQ26" s="73"/>
      <c r="CR26" s="72"/>
      <c r="CS26" s="73"/>
      <c r="CT26" s="72"/>
      <c r="CU26" s="73"/>
      <c r="CV26" s="72"/>
      <c r="CW26" s="73"/>
      <c r="CX26" s="72"/>
      <c r="CY26" s="73"/>
      <c r="CZ26" s="72"/>
      <c r="DA26" s="73"/>
      <c r="DB26" s="72"/>
      <c r="DC26" s="73"/>
      <c r="DD26" s="72"/>
      <c r="DE26" s="73"/>
      <c r="DF26" s="72"/>
      <c r="DG26" s="73"/>
      <c r="DH26" s="72"/>
      <c r="DI26" s="73"/>
      <c r="DJ26" s="72"/>
      <c r="DK26" s="73"/>
      <c r="DL26" s="72"/>
      <c r="DM26" s="73"/>
      <c r="DN26" s="72"/>
      <c r="DO26" s="73"/>
      <c r="DP26" s="72"/>
      <c r="DQ26" s="73"/>
      <c r="DR26" s="72"/>
      <c r="DS26" s="73"/>
      <c r="DT26" s="72"/>
      <c r="DU26" s="73"/>
      <c r="DV26" s="72"/>
      <c r="DW26" s="73"/>
      <c r="DX26" s="72"/>
      <c r="DY26" s="73"/>
      <c r="DZ26" s="72"/>
      <c r="EA26" s="73"/>
      <c r="EB26" s="72">
        <v>21</v>
      </c>
      <c r="EC26" s="73">
        <v>27</v>
      </c>
    </row>
    <row r="27" spans="2:133" ht="13.15" x14ac:dyDescent="0.25">
      <c r="B27" s="72">
        <v>22</v>
      </c>
      <c r="C27" s="73">
        <v>24</v>
      </c>
      <c r="D27" s="72">
        <v>22</v>
      </c>
      <c r="E27" s="73">
        <v>31</v>
      </c>
      <c r="F27" s="72">
        <v>22</v>
      </c>
      <c r="G27" s="73">
        <v>33</v>
      </c>
      <c r="H27" s="72">
        <v>22</v>
      </c>
      <c r="I27" s="73">
        <v>41</v>
      </c>
      <c r="J27" s="72">
        <v>22</v>
      </c>
      <c r="K27" s="73">
        <v>30</v>
      </c>
      <c r="L27" s="72">
        <v>22</v>
      </c>
      <c r="M27" s="73">
        <v>34</v>
      </c>
      <c r="N27" s="72"/>
      <c r="O27" s="73"/>
      <c r="P27" s="72"/>
      <c r="Q27" s="73"/>
      <c r="R27" s="72">
        <v>22</v>
      </c>
      <c r="S27" s="73">
        <v>23</v>
      </c>
      <c r="T27" s="72">
        <v>22</v>
      </c>
      <c r="U27" s="73">
        <v>51</v>
      </c>
      <c r="V27" s="72">
        <v>22</v>
      </c>
      <c r="W27" s="73">
        <v>53</v>
      </c>
      <c r="X27" s="72">
        <v>22</v>
      </c>
      <c r="Y27" s="73">
        <v>20</v>
      </c>
      <c r="Z27" s="72">
        <v>22</v>
      </c>
      <c r="AA27" s="73">
        <v>19</v>
      </c>
      <c r="AB27" s="72">
        <v>22</v>
      </c>
      <c r="AC27" s="73">
        <v>12</v>
      </c>
      <c r="AD27" s="72"/>
      <c r="AE27" s="73"/>
      <c r="AF27" s="72"/>
      <c r="AG27" s="73"/>
      <c r="AH27" s="72"/>
      <c r="AI27" s="73"/>
      <c r="AJ27" s="72">
        <v>22</v>
      </c>
      <c r="AK27" s="73">
        <v>30</v>
      </c>
      <c r="AL27" s="72">
        <v>22</v>
      </c>
      <c r="AM27" s="73">
        <v>31</v>
      </c>
      <c r="AN27" s="72">
        <v>22</v>
      </c>
      <c r="AO27" s="73">
        <v>29</v>
      </c>
      <c r="AP27" s="72"/>
      <c r="AQ27" s="73"/>
      <c r="AR27" s="72"/>
      <c r="AS27" s="73"/>
      <c r="AT27" s="72">
        <v>22</v>
      </c>
      <c r="AU27" s="73">
        <v>25</v>
      </c>
      <c r="AV27" s="72">
        <v>22</v>
      </c>
      <c r="AW27" s="73">
        <v>30</v>
      </c>
      <c r="AX27" s="72"/>
      <c r="AY27" s="73"/>
      <c r="AZ27" s="72">
        <v>22</v>
      </c>
      <c r="BA27" s="73">
        <v>31</v>
      </c>
      <c r="BB27" s="72"/>
      <c r="BC27" s="73"/>
      <c r="BD27" s="72"/>
      <c r="BE27" s="73"/>
      <c r="BF27" s="72"/>
      <c r="BG27" s="73"/>
      <c r="BH27" s="72"/>
      <c r="BI27" s="73"/>
      <c r="BJ27" s="72"/>
      <c r="BK27" s="73"/>
      <c r="BL27" s="72"/>
      <c r="BM27" s="73"/>
      <c r="BN27" s="72"/>
      <c r="BO27" s="73"/>
      <c r="BP27" s="72"/>
      <c r="BQ27" s="73"/>
      <c r="BR27" s="72"/>
      <c r="BS27" s="73"/>
      <c r="BT27" s="72"/>
      <c r="BU27" s="73"/>
      <c r="BV27" s="72"/>
      <c r="BW27" s="73"/>
      <c r="BX27" s="72"/>
      <c r="BY27" s="73"/>
      <c r="BZ27" s="72"/>
      <c r="CA27" s="74"/>
      <c r="CB27" s="75">
        <v>22</v>
      </c>
      <c r="CC27" s="73">
        <v>46</v>
      </c>
      <c r="CD27" s="72"/>
      <c r="CE27" s="73"/>
      <c r="CF27" s="72">
        <v>22</v>
      </c>
      <c r="CG27" s="73">
        <v>71</v>
      </c>
      <c r="CH27" s="72"/>
      <c r="CI27" s="73"/>
      <c r="CJ27" s="72">
        <v>22</v>
      </c>
      <c r="CK27" s="73">
        <v>30</v>
      </c>
      <c r="CL27" s="72"/>
      <c r="CM27" s="73"/>
      <c r="CN27" s="72"/>
      <c r="CO27" s="73"/>
      <c r="CP27" s="72"/>
      <c r="CQ27" s="73"/>
      <c r="CR27" s="72"/>
      <c r="CS27" s="73"/>
      <c r="CT27" s="72"/>
      <c r="CU27" s="73"/>
      <c r="CV27" s="72"/>
      <c r="CW27" s="73"/>
      <c r="CX27" s="72"/>
      <c r="CY27" s="73"/>
      <c r="CZ27" s="72"/>
      <c r="DA27" s="73"/>
      <c r="DB27" s="72"/>
      <c r="DC27" s="73"/>
      <c r="DD27" s="72"/>
      <c r="DE27" s="73"/>
      <c r="DF27" s="72"/>
      <c r="DG27" s="73"/>
      <c r="DH27" s="72"/>
      <c r="DI27" s="73"/>
      <c r="DJ27" s="72"/>
      <c r="DK27" s="73"/>
      <c r="DL27" s="72"/>
      <c r="DM27" s="73"/>
      <c r="DN27" s="72"/>
      <c r="DO27" s="73"/>
      <c r="DP27" s="72"/>
      <c r="DQ27" s="73"/>
      <c r="DR27" s="72"/>
      <c r="DS27" s="73"/>
      <c r="DT27" s="72"/>
      <c r="DU27" s="73"/>
      <c r="DV27" s="72"/>
      <c r="DW27" s="73"/>
      <c r="DX27" s="72"/>
      <c r="DY27" s="73"/>
      <c r="DZ27" s="72"/>
      <c r="EA27" s="73"/>
      <c r="EB27" s="72">
        <v>22</v>
      </c>
      <c r="EC27" s="73">
        <v>21</v>
      </c>
    </row>
    <row r="28" spans="2:133" ht="13.15" x14ac:dyDescent="0.25">
      <c r="B28" s="72">
        <v>23</v>
      </c>
      <c r="C28" s="73">
        <v>20</v>
      </c>
      <c r="D28" s="72">
        <v>23</v>
      </c>
      <c r="E28" s="73">
        <v>33</v>
      </c>
      <c r="F28" s="72">
        <v>23</v>
      </c>
      <c r="G28" s="73">
        <v>44</v>
      </c>
      <c r="H28" s="72">
        <v>23</v>
      </c>
      <c r="I28" s="73">
        <v>30</v>
      </c>
      <c r="J28" s="72">
        <v>23</v>
      </c>
      <c r="K28" s="73">
        <v>25</v>
      </c>
      <c r="L28" s="72">
        <v>23</v>
      </c>
      <c r="M28" s="73">
        <v>16</v>
      </c>
      <c r="N28" s="72"/>
      <c r="O28" s="73"/>
      <c r="P28" s="72"/>
      <c r="Q28" s="73"/>
      <c r="R28" s="72">
        <v>23</v>
      </c>
      <c r="S28" s="73">
        <v>29</v>
      </c>
      <c r="T28" s="72">
        <v>23</v>
      </c>
      <c r="U28" s="73">
        <v>39</v>
      </c>
      <c r="V28" s="72"/>
      <c r="W28" s="73"/>
      <c r="X28" s="72">
        <v>23</v>
      </c>
      <c r="Y28" s="73">
        <v>37</v>
      </c>
      <c r="Z28" s="72">
        <v>23</v>
      </c>
      <c r="AA28" s="73">
        <v>32</v>
      </c>
      <c r="AB28" s="72">
        <v>23</v>
      </c>
      <c r="AC28" s="73">
        <v>21</v>
      </c>
      <c r="AD28" s="72"/>
      <c r="AE28" s="73"/>
      <c r="AF28" s="72"/>
      <c r="AG28" s="73"/>
      <c r="AH28" s="72"/>
      <c r="AI28" s="73"/>
      <c r="AJ28" s="72">
        <v>23</v>
      </c>
      <c r="AK28" s="73">
        <v>17</v>
      </c>
      <c r="AL28" s="72">
        <v>23</v>
      </c>
      <c r="AM28" s="73">
        <v>6</v>
      </c>
      <c r="AN28" s="72">
        <v>23</v>
      </c>
      <c r="AO28" s="73">
        <v>35</v>
      </c>
      <c r="AP28" s="72"/>
      <c r="AQ28" s="73"/>
      <c r="AR28" s="72"/>
      <c r="AS28" s="73"/>
      <c r="AT28" s="72">
        <v>23</v>
      </c>
      <c r="AU28" s="73">
        <v>18</v>
      </c>
      <c r="AV28" s="72">
        <v>23</v>
      </c>
      <c r="AW28" s="73">
        <v>40</v>
      </c>
      <c r="AX28" s="72"/>
      <c r="AY28" s="73"/>
      <c r="AZ28" s="72">
        <v>23</v>
      </c>
      <c r="BA28" s="73">
        <v>49</v>
      </c>
      <c r="BB28" s="72"/>
      <c r="BC28" s="73"/>
      <c r="BD28" s="72"/>
      <c r="BE28" s="73"/>
      <c r="BF28" s="72"/>
      <c r="BG28" s="73"/>
      <c r="BH28" s="72"/>
      <c r="BI28" s="73"/>
      <c r="BJ28" s="72"/>
      <c r="BK28" s="73"/>
      <c r="BL28" s="72"/>
      <c r="BM28" s="73"/>
      <c r="BN28" s="72"/>
      <c r="BO28" s="73"/>
      <c r="BP28" s="72"/>
      <c r="BQ28" s="73"/>
      <c r="BR28" s="72"/>
      <c r="BS28" s="73"/>
      <c r="BT28" s="72"/>
      <c r="BU28" s="73"/>
      <c r="BV28" s="72"/>
      <c r="BW28" s="73"/>
      <c r="BX28" s="72"/>
      <c r="BY28" s="73"/>
      <c r="BZ28" s="72"/>
      <c r="CA28" s="74"/>
      <c r="CB28" s="75">
        <v>23</v>
      </c>
      <c r="CC28" s="73">
        <v>39</v>
      </c>
      <c r="CD28" s="72"/>
      <c r="CE28" s="73"/>
      <c r="CF28" s="72">
        <v>23</v>
      </c>
      <c r="CG28" s="73">
        <v>56</v>
      </c>
      <c r="CH28" s="72"/>
      <c r="CI28" s="73"/>
      <c r="CJ28" s="72">
        <v>23</v>
      </c>
      <c r="CK28" s="73">
        <v>35</v>
      </c>
      <c r="CL28" s="72"/>
      <c r="CM28" s="73"/>
      <c r="CN28" s="72"/>
      <c r="CO28" s="73"/>
      <c r="CP28" s="72"/>
      <c r="CQ28" s="73"/>
      <c r="CR28" s="72"/>
      <c r="CS28" s="73"/>
      <c r="CT28" s="72"/>
      <c r="CU28" s="73"/>
      <c r="CV28" s="72"/>
      <c r="CW28" s="73"/>
      <c r="CX28" s="72"/>
      <c r="CY28" s="73"/>
      <c r="CZ28" s="72"/>
      <c r="DA28" s="73"/>
      <c r="DB28" s="72"/>
      <c r="DC28" s="73"/>
      <c r="DD28" s="72"/>
      <c r="DE28" s="73"/>
      <c r="DF28" s="72"/>
      <c r="DG28" s="73"/>
      <c r="DH28" s="72"/>
      <c r="DI28" s="73"/>
      <c r="DJ28" s="72"/>
      <c r="DK28" s="73"/>
      <c r="DL28" s="72"/>
      <c r="DM28" s="73"/>
      <c r="DN28" s="72"/>
      <c r="DO28" s="73"/>
      <c r="DP28" s="72"/>
      <c r="DQ28" s="73"/>
      <c r="DR28" s="72"/>
      <c r="DS28" s="73"/>
      <c r="DT28" s="72"/>
      <c r="DU28" s="73"/>
      <c r="DV28" s="72"/>
      <c r="DW28" s="73"/>
      <c r="DX28" s="72"/>
      <c r="DY28" s="73"/>
      <c r="DZ28" s="72"/>
      <c r="EA28" s="73"/>
      <c r="EB28" s="72"/>
      <c r="EC28" s="73"/>
    </row>
    <row r="29" spans="2:133" ht="13.15" x14ac:dyDescent="0.25">
      <c r="B29" s="72">
        <v>24</v>
      </c>
      <c r="C29" s="73">
        <v>67</v>
      </c>
      <c r="D29" s="72">
        <v>24</v>
      </c>
      <c r="E29" s="73">
        <v>18</v>
      </c>
      <c r="F29" s="72">
        <v>24</v>
      </c>
      <c r="G29" s="73">
        <v>23</v>
      </c>
      <c r="H29" s="72">
        <v>24</v>
      </c>
      <c r="I29" s="73">
        <v>25</v>
      </c>
      <c r="J29" s="72">
        <v>24</v>
      </c>
      <c r="K29" s="73">
        <v>22</v>
      </c>
      <c r="L29" s="72">
        <v>24</v>
      </c>
      <c r="M29" s="73">
        <v>33</v>
      </c>
      <c r="N29" s="72"/>
      <c r="O29" s="73"/>
      <c r="P29" s="72"/>
      <c r="Q29" s="73"/>
      <c r="R29" s="72">
        <v>24</v>
      </c>
      <c r="S29" s="73">
        <v>22</v>
      </c>
      <c r="T29" s="72">
        <v>24</v>
      </c>
      <c r="U29" s="73">
        <v>25</v>
      </c>
      <c r="V29" s="72"/>
      <c r="W29" s="73"/>
      <c r="X29" s="72">
        <v>24</v>
      </c>
      <c r="Y29" s="73">
        <v>20</v>
      </c>
      <c r="Z29" s="72">
        <v>24</v>
      </c>
      <c r="AA29" s="73">
        <v>31</v>
      </c>
      <c r="AB29" s="72">
        <v>24</v>
      </c>
      <c r="AC29" s="73">
        <v>27</v>
      </c>
      <c r="AD29" s="72"/>
      <c r="AE29" s="73"/>
      <c r="AF29" s="72"/>
      <c r="AG29" s="73"/>
      <c r="AH29" s="72"/>
      <c r="AI29" s="73"/>
      <c r="AJ29" s="72">
        <v>24</v>
      </c>
      <c r="AK29" s="73">
        <v>25</v>
      </c>
      <c r="AL29" s="72">
        <v>24</v>
      </c>
      <c r="AM29" s="73">
        <v>10</v>
      </c>
      <c r="AN29" s="72">
        <v>24</v>
      </c>
      <c r="AO29" s="73">
        <v>34</v>
      </c>
      <c r="AP29" s="72"/>
      <c r="AQ29" s="73"/>
      <c r="AR29" s="72"/>
      <c r="AS29" s="73"/>
      <c r="AT29" s="72">
        <v>24</v>
      </c>
      <c r="AU29" s="73">
        <v>23</v>
      </c>
      <c r="AV29" s="72">
        <v>24</v>
      </c>
      <c r="AW29" s="73">
        <v>10</v>
      </c>
      <c r="AX29" s="72"/>
      <c r="AY29" s="73"/>
      <c r="AZ29" s="72">
        <v>24</v>
      </c>
      <c r="BA29" s="73">
        <v>27</v>
      </c>
      <c r="BB29" s="72"/>
      <c r="BC29" s="73"/>
      <c r="BD29" s="72"/>
      <c r="BE29" s="73"/>
      <c r="BF29" s="72"/>
      <c r="BG29" s="73"/>
      <c r="BH29" s="72"/>
      <c r="BI29" s="73"/>
      <c r="BJ29" s="72"/>
      <c r="BK29" s="73"/>
      <c r="BL29" s="72"/>
      <c r="BM29" s="73"/>
      <c r="BN29" s="72"/>
      <c r="BO29" s="73"/>
      <c r="BP29" s="72"/>
      <c r="BQ29" s="73"/>
      <c r="BR29" s="72"/>
      <c r="BS29" s="73"/>
      <c r="BT29" s="72"/>
      <c r="BU29" s="73"/>
      <c r="BV29" s="72"/>
      <c r="BW29" s="73"/>
      <c r="BX29" s="72"/>
      <c r="BY29" s="73"/>
      <c r="BZ29" s="72"/>
      <c r="CA29" s="74"/>
      <c r="CB29" s="75">
        <v>24</v>
      </c>
      <c r="CC29" s="73">
        <v>51</v>
      </c>
      <c r="CD29" s="72"/>
      <c r="CE29" s="73"/>
      <c r="CF29" s="72">
        <v>24</v>
      </c>
      <c r="CG29" s="73">
        <v>53</v>
      </c>
      <c r="CH29" s="72"/>
      <c r="CI29" s="73"/>
      <c r="CJ29" s="72">
        <v>24</v>
      </c>
      <c r="CK29" s="73">
        <v>27</v>
      </c>
      <c r="CL29" s="72"/>
      <c r="CM29" s="73"/>
      <c r="CN29" s="72"/>
      <c r="CO29" s="73"/>
      <c r="CP29" s="72"/>
      <c r="CQ29" s="73"/>
      <c r="CR29" s="72"/>
      <c r="CS29" s="73"/>
      <c r="CT29" s="72"/>
      <c r="CU29" s="73"/>
      <c r="CV29" s="72"/>
      <c r="CW29" s="73"/>
      <c r="CX29" s="72"/>
      <c r="CY29" s="73"/>
      <c r="CZ29" s="72"/>
      <c r="DA29" s="73"/>
      <c r="DB29" s="72"/>
      <c r="DC29" s="73"/>
      <c r="DD29" s="72"/>
      <c r="DE29" s="73"/>
      <c r="DF29" s="72"/>
      <c r="DG29" s="73"/>
      <c r="DH29" s="72"/>
      <c r="DI29" s="73"/>
      <c r="DJ29" s="72"/>
      <c r="DK29" s="73"/>
      <c r="DL29" s="72"/>
      <c r="DM29" s="73"/>
      <c r="DN29" s="72"/>
      <c r="DO29" s="73"/>
      <c r="DP29" s="72"/>
      <c r="DQ29" s="73"/>
      <c r="DR29" s="72"/>
      <c r="DS29" s="73"/>
      <c r="DT29" s="72"/>
      <c r="DU29" s="73"/>
      <c r="DV29" s="72"/>
      <c r="DW29" s="73"/>
      <c r="DX29" s="72"/>
      <c r="DY29" s="73"/>
      <c r="DZ29" s="72"/>
      <c r="EA29" s="73"/>
      <c r="EB29" s="72"/>
      <c r="EC29" s="73"/>
    </row>
    <row r="30" spans="2:133" ht="13.15" x14ac:dyDescent="0.25">
      <c r="B30" s="72">
        <v>25</v>
      </c>
      <c r="C30" s="73">
        <v>34</v>
      </c>
      <c r="D30" s="72">
        <v>25</v>
      </c>
      <c r="E30" s="73">
        <v>40</v>
      </c>
      <c r="F30" s="72">
        <v>25</v>
      </c>
      <c r="G30" s="73">
        <v>55</v>
      </c>
      <c r="H30" s="72">
        <v>25</v>
      </c>
      <c r="I30" s="73">
        <v>18</v>
      </c>
      <c r="J30" s="72">
        <v>25</v>
      </c>
      <c r="K30" s="73">
        <v>19</v>
      </c>
      <c r="L30" s="72"/>
      <c r="M30" s="73"/>
      <c r="N30" s="72"/>
      <c r="O30" s="73"/>
      <c r="P30" s="72"/>
      <c r="Q30" s="73"/>
      <c r="R30" s="72">
        <v>25</v>
      </c>
      <c r="S30" s="73">
        <v>44</v>
      </c>
      <c r="T30" s="72"/>
      <c r="U30" s="73"/>
      <c r="V30" s="72"/>
      <c r="W30" s="73"/>
      <c r="X30" s="72">
        <v>25</v>
      </c>
      <c r="Y30" s="73">
        <v>30</v>
      </c>
      <c r="Z30" s="72">
        <v>25</v>
      </c>
      <c r="AA30" s="73">
        <v>31</v>
      </c>
      <c r="AB30" s="72">
        <v>25</v>
      </c>
      <c r="AC30" s="73">
        <v>28</v>
      </c>
      <c r="AD30" s="72"/>
      <c r="AE30" s="73"/>
      <c r="AF30" s="72"/>
      <c r="AG30" s="73"/>
      <c r="AH30" s="72"/>
      <c r="AI30" s="73"/>
      <c r="AJ30" s="72">
        <v>25</v>
      </c>
      <c r="AK30" s="73">
        <v>6</v>
      </c>
      <c r="AL30" s="72">
        <v>25</v>
      </c>
      <c r="AM30" s="73">
        <v>22</v>
      </c>
      <c r="AN30" s="72">
        <v>25</v>
      </c>
      <c r="AO30" s="73">
        <v>28</v>
      </c>
      <c r="AP30" s="72"/>
      <c r="AQ30" s="73"/>
      <c r="AR30" s="72"/>
      <c r="AS30" s="73"/>
      <c r="AT30" s="72">
        <v>25</v>
      </c>
      <c r="AU30" s="73">
        <v>12</v>
      </c>
      <c r="AV30" s="72">
        <v>25</v>
      </c>
      <c r="AW30" s="73">
        <v>38</v>
      </c>
      <c r="AX30" s="72"/>
      <c r="AY30" s="73"/>
      <c r="AZ30" s="72">
        <v>25</v>
      </c>
      <c r="BA30" s="73">
        <v>17</v>
      </c>
      <c r="BB30" s="72"/>
      <c r="BC30" s="73"/>
      <c r="BD30" s="72"/>
      <c r="BE30" s="73"/>
      <c r="BF30" s="72"/>
      <c r="BG30" s="73"/>
      <c r="BH30" s="72"/>
      <c r="BI30" s="73"/>
      <c r="BJ30" s="72"/>
      <c r="BK30" s="73"/>
      <c r="BL30" s="72"/>
      <c r="BM30" s="73"/>
      <c r="BN30" s="72"/>
      <c r="BO30" s="73"/>
      <c r="BP30" s="72"/>
      <c r="BQ30" s="73"/>
      <c r="BR30" s="72"/>
      <c r="BS30" s="73"/>
      <c r="BT30" s="72"/>
      <c r="BU30" s="73"/>
      <c r="BV30" s="72"/>
      <c r="BW30" s="73"/>
      <c r="BX30" s="72"/>
      <c r="BY30" s="73"/>
      <c r="BZ30" s="72"/>
      <c r="CA30" s="74"/>
      <c r="CB30" s="75">
        <v>25</v>
      </c>
      <c r="CC30" s="73">
        <v>46</v>
      </c>
      <c r="CD30" s="72"/>
      <c r="CE30" s="73"/>
      <c r="CF30" s="72"/>
      <c r="CG30" s="73"/>
      <c r="CH30" s="72"/>
      <c r="CI30" s="73"/>
      <c r="CJ30" s="72">
        <v>25</v>
      </c>
      <c r="CK30" s="73">
        <v>27</v>
      </c>
      <c r="CL30" s="72"/>
      <c r="CM30" s="73"/>
      <c r="CN30" s="72"/>
      <c r="CO30" s="73"/>
      <c r="CP30" s="72"/>
      <c r="CQ30" s="73"/>
      <c r="CR30" s="72"/>
      <c r="CS30" s="73"/>
      <c r="CT30" s="72"/>
      <c r="CU30" s="73"/>
      <c r="CV30" s="72"/>
      <c r="CW30" s="73"/>
      <c r="CX30" s="72"/>
      <c r="CY30" s="73"/>
      <c r="CZ30" s="72"/>
      <c r="DA30" s="73"/>
      <c r="DB30" s="72"/>
      <c r="DC30" s="73"/>
      <c r="DD30" s="72"/>
      <c r="DE30" s="73"/>
      <c r="DF30" s="72"/>
      <c r="DG30" s="73"/>
      <c r="DH30" s="72"/>
      <c r="DI30" s="73"/>
      <c r="DJ30" s="72"/>
      <c r="DK30" s="73"/>
      <c r="DL30" s="72"/>
      <c r="DM30" s="73"/>
      <c r="DN30" s="72"/>
      <c r="DO30" s="73"/>
      <c r="DP30" s="72"/>
      <c r="DQ30" s="73"/>
      <c r="DR30" s="72"/>
      <c r="DS30" s="73"/>
      <c r="DT30" s="72"/>
      <c r="DU30" s="73"/>
      <c r="DV30" s="72"/>
      <c r="DW30" s="73"/>
      <c r="DX30" s="72"/>
      <c r="DY30" s="73"/>
      <c r="DZ30" s="72"/>
      <c r="EA30" s="73"/>
      <c r="EB30" s="72"/>
      <c r="EC30" s="73"/>
    </row>
    <row r="31" spans="2:133" x14ac:dyDescent="0.2">
      <c r="B31" s="72">
        <v>26</v>
      </c>
      <c r="C31" s="73">
        <v>35</v>
      </c>
      <c r="D31" s="72">
        <v>26</v>
      </c>
      <c r="E31" s="73">
        <v>37</v>
      </c>
      <c r="F31" s="72">
        <v>26</v>
      </c>
      <c r="G31" s="73">
        <v>46</v>
      </c>
      <c r="H31" s="72">
        <v>26</v>
      </c>
      <c r="I31" s="73">
        <v>65</v>
      </c>
      <c r="J31" s="72">
        <v>26</v>
      </c>
      <c r="K31" s="73">
        <v>19</v>
      </c>
      <c r="L31" s="72"/>
      <c r="M31" s="73"/>
      <c r="N31" s="72"/>
      <c r="O31" s="73"/>
      <c r="P31" s="72"/>
      <c r="Q31" s="73"/>
      <c r="R31" s="72">
        <v>26</v>
      </c>
      <c r="S31" s="73">
        <v>25</v>
      </c>
      <c r="T31" s="72"/>
      <c r="U31" s="73"/>
      <c r="V31" s="72"/>
      <c r="W31" s="73"/>
      <c r="X31" s="72"/>
      <c r="Y31" s="73"/>
      <c r="Z31" s="72">
        <v>26</v>
      </c>
      <c r="AA31" s="73">
        <v>32</v>
      </c>
      <c r="AB31" s="72">
        <v>26</v>
      </c>
      <c r="AC31" s="73">
        <v>23</v>
      </c>
      <c r="AD31" s="72"/>
      <c r="AE31" s="73"/>
      <c r="AF31" s="72"/>
      <c r="AG31" s="73"/>
      <c r="AH31" s="72"/>
      <c r="AI31" s="73"/>
      <c r="AJ31" s="72">
        <v>26</v>
      </c>
      <c r="AK31" s="73">
        <v>14</v>
      </c>
      <c r="AL31" s="72">
        <v>26</v>
      </c>
      <c r="AM31" s="73">
        <v>12</v>
      </c>
      <c r="AN31" s="72">
        <v>26</v>
      </c>
      <c r="AO31" s="73">
        <v>28</v>
      </c>
      <c r="AP31" s="72"/>
      <c r="AQ31" s="73"/>
      <c r="AR31" s="72"/>
      <c r="AS31" s="73"/>
      <c r="AT31" s="72">
        <v>26</v>
      </c>
      <c r="AU31" s="73">
        <v>21</v>
      </c>
      <c r="AV31" s="72">
        <v>26</v>
      </c>
      <c r="AW31" s="73">
        <v>24</v>
      </c>
      <c r="AX31" s="72"/>
      <c r="AY31" s="73"/>
      <c r="AZ31" s="72">
        <v>26</v>
      </c>
      <c r="BA31" s="73">
        <v>21</v>
      </c>
      <c r="BB31" s="72"/>
      <c r="BC31" s="73"/>
      <c r="BD31" s="72"/>
      <c r="BE31" s="73"/>
      <c r="BF31" s="72"/>
      <c r="BG31" s="73"/>
      <c r="BH31" s="72"/>
      <c r="BI31" s="73"/>
      <c r="BJ31" s="72"/>
      <c r="BK31" s="73"/>
      <c r="BL31" s="72"/>
      <c r="BM31" s="73"/>
      <c r="BN31" s="72"/>
      <c r="BO31" s="73"/>
      <c r="BP31" s="72"/>
      <c r="BQ31" s="73"/>
      <c r="BR31" s="72"/>
      <c r="BS31" s="73"/>
      <c r="BT31" s="72"/>
      <c r="BU31" s="73"/>
      <c r="BV31" s="72"/>
      <c r="BW31" s="73"/>
      <c r="BX31" s="72"/>
      <c r="BY31" s="73"/>
      <c r="BZ31" s="72"/>
      <c r="CA31" s="74"/>
      <c r="CB31" s="75">
        <v>26</v>
      </c>
      <c r="CC31" s="73">
        <v>75</v>
      </c>
      <c r="CD31" s="72"/>
      <c r="CE31" s="73"/>
      <c r="CF31" s="72"/>
      <c r="CG31" s="73"/>
      <c r="CH31" s="72"/>
      <c r="CI31" s="73"/>
      <c r="CJ31" s="72">
        <v>26</v>
      </c>
      <c r="CK31" s="73">
        <v>32</v>
      </c>
      <c r="CL31" s="72"/>
      <c r="CM31" s="73"/>
      <c r="CN31" s="72"/>
      <c r="CO31" s="73"/>
      <c r="CP31" s="72"/>
      <c r="CQ31" s="73"/>
      <c r="CR31" s="72"/>
      <c r="CS31" s="73"/>
      <c r="CT31" s="72"/>
      <c r="CU31" s="73"/>
      <c r="CV31" s="72"/>
      <c r="CW31" s="73"/>
      <c r="CX31" s="72"/>
      <c r="CY31" s="73"/>
      <c r="CZ31" s="72"/>
      <c r="DA31" s="73"/>
      <c r="DB31" s="72"/>
      <c r="DC31" s="73"/>
      <c r="DD31" s="72"/>
      <c r="DE31" s="73"/>
      <c r="DF31" s="72"/>
      <c r="DG31" s="73"/>
      <c r="DH31" s="72"/>
      <c r="DI31" s="73"/>
      <c r="DJ31" s="72"/>
      <c r="DK31" s="73"/>
      <c r="DL31" s="72"/>
      <c r="DM31" s="73"/>
      <c r="DN31" s="72"/>
      <c r="DO31" s="73"/>
      <c r="DP31" s="72"/>
      <c r="DQ31" s="73"/>
      <c r="DR31" s="72"/>
      <c r="DS31" s="73"/>
      <c r="DT31" s="72"/>
      <c r="DU31" s="73"/>
      <c r="DV31" s="72"/>
      <c r="DW31" s="73"/>
      <c r="DX31" s="72"/>
      <c r="DY31" s="73"/>
      <c r="DZ31" s="72"/>
      <c r="EA31" s="73"/>
      <c r="EB31" s="72"/>
      <c r="EC31" s="73"/>
    </row>
    <row r="32" spans="2:133" x14ac:dyDescent="0.2">
      <c r="B32" s="72">
        <v>27</v>
      </c>
      <c r="C32" s="73">
        <v>46</v>
      </c>
      <c r="D32" s="72">
        <v>27</v>
      </c>
      <c r="E32" s="73">
        <v>21</v>
      </c>
      <c r="F32" s="72">
        <v>27</v>
      </c>
      <c r="G32" s="73">
        <v>34</v>
      </c>
      <c r="H32" s="72">
        <v>27</v>
      </c>
      <c r="I32" s="73">
        <v>23</v>
      </c>
      <c r="J32" s="72">
        <v>27</v>
      </c>
      <c r="K32" s="73">
        <v>26</v>
      </c>
      <c r="L32" s="72"/>
      <c r="M32" s="73"/>
      <c r="N32" s="72"/>
      <c r="O32" s="73"/>
      <c r="P32" s="72"/>
      <c r="Q32" s="73"/>
      <c r="R32" s="72">
        <v>27</v>
      </c>
      <c r="S32" s="73">
        <v>12</v>
      </c>
      <c r="T32" s="72"/>
      <c r="U32" s="73"/>
      <c r="V32" s="72"/>
      <c r="W32" s="73"/>
      <c r="X32" s="72"/>
      <c r="Y32" s="73"/>
      <c r="Z32" s="72">
        <v>27</v>
      </c>
      <c r="AA32" s="73">
        <v>34</v>
      </c>
      <c r="AB32" s="72">
        <v>27</v>
      </c>
      <c r="AC32" s="73">
        <v>9</v>
      </c>
      <c r="AD32" s="72"/>
      <c r="AE32" s="73"/>
      <c r="AF32" s="72"/>
      <c r="AG32" s="73"/>
      <c r="AH32" s="72"/>
      <c r="AI32" s="73"/>
      <c r="AJ32" s="72">
        <v>27</v>
      </c>
      <c r="AK32" s="73">
        <v>23</v>
      </c>
      <c r="AL32" s="72">
        <v>27</v>
      </c>
      <c r="AM32" s="73">
        <v>14</v>
      </c>
      <c r="AN32" s="72">
        <v>27</v>
      </c>
      <c r="AO32" s="73">
        <v>27</v>
      </c>
      <c r="AP32" s="72"/>
      <c r="AQ32" s="73"/>
      <c r="AR32" s="72"/>
      <c r="AS32" s="73"/>
      <c r="AT32" s="72">
        <v>27</v>
      </c>
      <c r="AU32" s="73">
        <v>13</v>
      </c>
      <c r="AV32" s="72">
        <v>27</v>
      </c>
      <c r="AW32" s="73">
        <v>22</v>
      </c>
      <c r="AX32" s="72"/>
      <c r="AY32" s="73"/>
      <c r="AZ32" s="72">
        <v>27</v>
      </c>
      <c r="BA32" s="73">
        <v>36</v>
      </c>
      <c r="BB32" s="72"/>
      <c r="BC32" s="73"/>
      <c r="BD32" s="72"/>
      <c r="BE32" s="73"/>
      <c r="BF32" s="72"/>
      <c r="BG32" s="73"/>
      <c r="BH32" s="72"/>
      <c r="BI32" s="73"/>
      <c r="BJ32" s="72"/>
      <c r="BK32" s="73"/>
      <c r="BL32" s="72"/>
      <c r="BM32" s="73"/>
      <c r="BN32" s="72"/>
      <c r="BO32" s="73"/>
      <c r="BP32" s="72"/>
      <c r="BQ32" s="73"/>
      <c r="BR32" s="72"/>
      <c r="BS32" s="73"/>
      <c r="BT32" s="72"/>
      <c r="BU32" s="73"/>
      <c r="BV32" s="72"/>
      <c r="BW32" s="73"/>
      <c r="BX32" s="72"/>
      <c r="BY32" s="73"/>
      <c r="BZ32" s="72"/>
      <c r="CA32" s="74"/>
      <c r="CB32" s="75">
        <v>27</v>
      </c>
      <c r="CC32" s="73">
        <v>66</v>
      </c>
      <c r="CD32" s="72"/>
      <c r="CE32" s="73"/>
      <c r="CF32" s="72"/>
      <c r="CG32" s="73"/>
      <c r="CH32" s="72"/>
      <c r="CI32" s="73"/>
      <c r="CJ32" s="72">
        <v>27</v>
      </c>
      <c r="CK32" s="73">
        <v>44</v>
      </c>
      <c r="CL32" s="72"/>
      <c r="CM32" s="73"/>
      <c r="CN32" s="72"/>
      <c r="CO32" s="73"/>
      <c r="CP32" s="72"/>
      <c r="CQ32" s="73"/>
      <c r="CR32" s="72"/>
      <c r="CS32" s="73"/>
      <c r="CT32" s="72"/>
      <c r="CU32" s="73"/>
      <c r="CV32" s="72"/>
      <c r="CW32" s="73"/>
      <c r="CX32" s="72"/>
      <c r="CY32" s="73"/>
      <c r="CZ32" s="72"/>
      <c r="DA32" s="73"/>
      <c r="DB32" s="72"/>
      <c r="DC32" s="73"/>
      <c r="DD32" s="72"/>
      <c r="DE32" s="73"/>
      <c r="DF32" s="72"/>
      <c r="DG32" s="73"/>
      <c r="DH32" s="72"/>
      <c r="DI32" s="73"/>
      <c r="DJ32" s="72"/>
      <c r="DK32" s="73"/>
      <c r="DL32" s="72"/>
      <c r="DM32" s="73"/>
      <c r="DN32" s="72"/>
      <c r="DO32" s="73"/>
      <c r="DP32" s="72"/>
      <c r="DQ32" s="73"/>
      <c r="DR32" s="72"/>
      <c r="DS32" s="73"/>
      <c r="DT32" s="72"/>
      <c r="DU32" s="73"/>
      <c r="DV32" s="72"/>
      <c r="DW32" s="73"/>
      <c r="DX32" s="72"/>
      <c r="DY32" s="73"/>
      <c r="DZ32" s="72"/>
      <c r="EA32" s="73"/>
      <c r="EB32" s="72"/>
      <c r="EC32" s="73"/>
    </row>
    <row r="33" spans="2:133" x14ac:dyDescent="0.2">
      <c r="B33" s="72">
        <v>28</v>
      </c>
      <c r="C33" s="73">
        <v>22</v>
      </c>
      <c r="D33" s="72">
        <v>28</v>
      </c>
      <c r="E33" s="73">
        <v>43</v>
      </c>
      <c r="F33" s="72"/>
      <c r="G33" s="73"/>
      <c r="H33" s="72">
        <v>28</v>
      </c>
      <c r="I33" s="73">
        <v>31</v>
      </c>
      <c r="J33" s="72">
        <v>28</v>
      </c>
      <c r="K33" s="73">
        <v>68</v>
      </c>
      <c r="L33" s="72"/>
      <c r="M33" s="73"/>
      <c r="N33" s="72"/>
      <c r="O33" s="73"/>
      <c r="P33" s="72"/>
      <c r="Q33" s="73"/>
      <c r="R33" s="72">
        <v>28</v>
      </c>
      <c r="S33" s="73">
        <v>25</v>
      </c>
      <c r="T33" s="72"/>
      <c r="U33" s="73"/>
      <c r="V33" s="72"/>
      <c r="W33" s="73"/>
      <c r="X33" s="72"/>
      <c r="Y33" s="73"/>
      <c r="Z33" s="72">
        <v>28</v>
      </c>
      <c r="AA33" s="73">
        <v>21</v>
      </c>
      <c r="AB33" s="72">
        <v>28</v>
      </c>
      <c r="AC33" s="73">
        <v>27</v>
      </c>
      <c r="AD33" s="72"/>
      <c r="AE33" s="73"/>
      <c r="AF33" s="72"/>
      <c r="AG33" s="73"/>
      <c r="AH33" s="72"/>
      <c r="AI33" s="73"/>
      <c r="AJ33" s="72">
        <v>28</v>
      </c>
      <c r="AK33" s="73">
        <v>28</v>
      </c>
      <c r="AL33" s="72">
        <v>28</v>
      </c>
      <c r="AM33" s="73">
        <v>9</v>
      </c>
      <c r="AN33" s="72">
        <v>28</v>
      </c>
      <c r="AO33" s="73">
        <v>28</v>
      </c>
      <c r="AP33" s="72"/>
      <c r="AQ33" s="73"/>
      <c r="AR33" s="72"/>
      <c r="AS33" s="73"/>
      <c r="AT33" s="72">
        <v>28</v>
      </c>
      <c r="AU33" s="73">
        <v>29</v>
      </c>
      <c r="AV33" s="72">
        <v>28</v>
      </c>
      <c r="AW33" s="73">
        <v>17</v>
      </c>
      <c r="AX33" s="72"/>
      <c r="AY33" s="73"/>
      <c r="AZ33" s="72">
        <v>28</v>
      </c>
      <c r="BA33" s="73">
        <v>26</v>
      </c>
      <c r="BB33" s="72"/>
      <c r="BC33" s="73"/>
      <c r="BD33" s="72"/>
      <c r="BE33" s="73"/>
      <c r="BF33" s="72"/>
      <c r="BG33" s="73"/>
      <c r="BH33" s="72"/>
      <c r="BI33" s="73"/>
      <c r="BJ33" s="72"/>
      <c r="BK33" s="73"/>
      <c r="BL33" s="72"/>
      <c r="BM33" s="73"/>
      <c r="BN33" s="72"/>
      <c r="BO33" s="73"/>
      <c r="BP33" s="72"/>
      <c r="BQ33" s="73"/>
      <c r="BR33" s="72"/>
      <c r="BS33" s="73"/>
      <c r="BT33" s="72"/>
      <c r="BU33" s="73"/>
      <c r="BV33" s="72"/>
      <c r="BW33" s="73"/>
      <c r="BX33" s="72"/>
      <c r="BY33" s="73"/>
      <c r="BZ33" s="72"/>
      <c r="CA33" s="74"/>
      <c r="CB33" s="75">
        <v>28</v>
      </c>
      <c r="CC33" s="73">
        <v>20</v>
      </c>
      <c r="CD33" s="72"/>
      <c r="CE33" s="73"/>
      <c r="CF33" s="72"/>
      <c r="CG33" s="73"/>
      <c r="CH33" s="72"/>
      <c r="CI33" s="73"/>
      <c r="CJ33" s="72">
        <v>28</v>
      </c>
      <c r="CK33" s="73">
        <v>31</v>
      </c>
      <c r="CL33" s="72"/>
      <c r="CM33" s="73"/>
      <c r="CN33" s="72"/>
      <c r="CO33" s="73"/>
      <c r="CP33" s="72"/>
      <c r="CQ33" s="73"/>
      <c r="CR33" s="72"/>
      <c r="CS33" s="73"/>
      <c r="CT33" s="72"/>
      <c r="CU33" s="73"/>
      <c r="CV33" s="72"/>
      <c r="CW33" s="73"/>
      <c r="CX33" s="72"/>
      <c r="CY33" s="73"/>
      <c r="CZ33" s="72"/>
      <c r="DA33" s="73"/>
      <c r="DB33" s="72"/>
      <c r="DC33" s="73"/>
      <c r="DD33" s="72"/>
      <c r="DE33" s="73"/>
      <c r="DF33" s="72"/>
      <c r="DG33" s="73"/>
      <c r="DH33" s="72"/>
      <c r="DI33" s="73"/>
      <c r="DJ33" s="72"/>
      <c r="DK33" s="73"/>
      <c r="DL33" s="72"/>
      <c r="DM33" s="73"/>
      <c r="DN33" s="72"/>
      <c r="DO33" s="73"/>
      <c r="DP33" s="72"/>
      <c r="DQ33" s="73"/>
      <c r="DR33" s="72"/>
      <c r="DS33" s="73"/>
      <c r="DT33" s="72"/>
      <c r="DU33" s="73"/>
      <c r="DV33" s="72"/>
      <c r="DW33" s="73"/>
      <c r="DX33" s="72"/>
      <c r="DY33" s="73"/>
      <c r="DZ33" s="72"/>
      <c r="EA33" s="73"/>
      <c r="EB33" s="72"/>
      <c r="EC33" s="73"/>
    </row>
    <row r="34" spans="2:133" x14ac:dyDescent="0.2">
      <c r="B34" s="72">
        <v>29</v>
      </c>
      <c r="C34" s="73">
        <v>35</v>
      </c>
      <c r="D34" s="72">
        <v>29</v>
      </c>
      <c r="E34" s="73">
        <v>46</v>
      </c>
      <c r="F34" s="72"/>
      <c r="G34" s="73"/>
      <c r="H34" s="72">
        <v>29</v>
      </c>
      <c r="I34" s="73">
        <v>40</v>
      </c>
      <c r="J34" s="72">
        <v>29</v>
      </c>
      <c r="K34" s="73">
        <v>29</v>
      </c>
      <c r="L34" s="72"/>
      <c r="M34" s="73"/>
      <c r="N34" s="72"/>
      <c r="O34" s="73"/>
      <c r="P34" s="72"/>
      <c r="Q34" s="73"/>
      <c r="R34" s="72">
        <v>29</v>
      </c>
      <c r="S34" s="73">
        <v>11</v>
      </c>
      <c r="T34" s="72"/>
      <c r="U34" s="73"/>
      <c r="V34" s="72"/>
      <c r="W34" s="73"/>
      <c r="X34" s="72"/>
      <c r="Y34" s="73"/>
      <c r="Z34" s="72">
        <v>29</v>
      </c>
      <c r="AA34" s="73">
        <v>30</v>
      </c>
      <c r="AB34" s="72">
        <v>29</v>
      </c>
      <c r="AC34" s="73">
        <v>36</v>
      </c>
      <c r="AD34" s="72"/>
      <c r="AE34" s="73"/>
      <c r="AF34" s="72"/>
      <c r="AG34" s="73"/>
      <c r="AH34" s="72"/>
      <c r="AI34" s="73"/>
      <c r="AJ34" s="72">
        <v>29</v>
      </c>
      <c r="AK34" s="73">
        <v>25</v>
      </c>
      <c r="AL34" s="72">
        <v>29</v>
      </c>
      <c r="AM34" s="73">
        <v>11</v>
      </c>
      <c r="AN34" s="72">
        <v>29</v>
      </c>
      <c r="AO34" s="73">
        <v>27</v>
      </c>
      <c r="AP34" s="72"/>
      <c r="AQ34" s="73"/>
      <c r="AR34" s="72"/>
      <c r="AS34" s="73"/>
      <c r="AT34" s="72">
        <v>29</v>
      </c>
      <c r="AU34" s="73">
        <v>24</v>
      </c>
      <c r="AV34" s="72">
        <v>29</v>
      </c>
      <c r="AW34" s="73">
        <v>32</v>
      </c>
      <c r="AX34" s="72"/>
      <c r="AY34" s="73"/>
      <c r="AZ34" s="72">
        <v>29</v>
      </c>
      <c r="BA34" s="73">
        <v>21</v>
      </c>
      <c r="BB34" s="72"/>
      <c r="BC34" s="73"/>
      <c r="BD34" s="72"/>
      <c r="BE34" s="73"/>
      <c r="BF34" s="72"/>
      <c r="BG34" s="73"/>
      <c r="BH34" s="72"/>
      <c r="BI34" s="73"/>
      <c r="BJ34" s="72"/>
      <c r="BK34" s="73"/>
      <c r="BL34" s="72"/>
      <c r="BM34" s="73"/>
      <c r="BN34" s="72"/>
      <c r="BO34" s="73"/>
      <c r="BP34" s="72"/>
      <c r="BQ34" s="73"/>
      <c r="BR34" s="72"/>
      <c r="BS34" s="73"/>
      <c r="BT34" s="72"/>
      <c r="BU34" s="73"/>
      <c r="BV34" s="72"/>
      <c r="BW34" s="73"/>
      <c r="BX34" s="72"/>
      <c r="BY34" s="73"/>
      <c r="BZ34" s="72"/>
      <c r="CA34" s="74"/>
      <c r="CB34" s="75"/>
      <c r="CC34" s="73"/>
      <c r="CD34" s="72"/>
      <c r="CE34" s="73"/>
      <c r="CF34" s="72"/>
      <c r="CG34" s="73"/>
      <c r="CH34" s="72"/>
      <c r="CI34" s="73"/>
      <c r="CJ34" s="72"/>
      <c r="CK34" s="73"/>
      <c r="CL34" s="72"/>
      <c r="CM34" s="73"/>
      <c r="CN34" s="72"/>
      <c r="CO34" s="73"/>
      <c r="CP34" s="72"/>
      <c r="CQ34" s="73"/>
      <c r="CR34" s="72"/>
      <c r="CS34" s="73"/>
      <c r="CT34" s="72"/>
      <c r="CU34" s="73"/>
      <c r="CV34" s="72"/>
      <c r="CW34" s="73"/>
      <c r="CX34" s="72"/>
      <c r="CY34" s="73"/>
      <c r="CZ34" s="72"/>
      <c r="DA34" s="73"/>
      <c r="DB34" s="72"/>
      <c r="DC34" s="73"/>
      <c r="DD34" s="72"/>
      <c r="DE34" s="73"/>
      <c r="DF34" s="72"/>
      <c r="DG34" s="73"/>
      <c r="DH34" s="72"/>
      <c r="DI34" s="73"/>
      <c r="DJ34" s="72"/>
      <c r="DK34" s="73"/>
      <c r="DL34" s="72"/>
      <c r="DM34" s="73"/>
      <c r="DN34" s="72"/>
      <c r="DO34" s="73"/>
      <c r="DP34" s="72"/>
      <c r="DQ34" s="73"/>
      <c r="DR34" s="72"/>
      <c r="DS34" s="73"/>
      <c r="DT34" s="72"/>
      <c r="DU34" s="73"/>
      <c r="DV34" s="72"/>
      <c r="DW34" s="73"/>
      <c r="DX34" s="72"/>
      <c r="DY34" s="73"/>
      <c r="DZ34" s="72"/>
      <c r="EA34" s="73"/>
      <c r="EB34" s="72"/>
      <c r="EC34" s="73"/>
    </row>
    <row r="35" spans="2:133" x14ac:dyDescent="0.2">
      <c r="B35" s="72">
        <v>30</v>
      </c>
      <c r="C35" s="73">
        <v>43</v>
      </c>
      <c r="D35" s="72">
        <v>30</v>
      </c>
      <c r="E35" s="73">
        <v>38</v>
      </c>
      <c r="F35" s="72"/>
      <c r="G35" s="73"/>
      <c r="H35" s="72">
        <v>30</v>
      </c>
      <c r="I35" s="73">
        <v>16</v>
      </c>
      <c r="J35" s="72">
        <v>30</v>
      </c>
      <c r="K35" s="73">
        <v>20</v>
      </c>
      <c r="L35" s="72"/>
      <c r="M35" s="73"/>
      <c r="N35" s="72"/>
      <c r="O35" s="73"/>
      <c r="P35" s="72"/>
      <c r="Q35" s="73"/>
      <c r="R35" s="72">
        <v>30</v>
      </c>
      <c r="S35" s="73">
        <v>31</v>
      </c>
      <c r="T35" s="72"/>
      <c r="U35" s="73"/>
      <c r="V35" s="72"/>
      <c r="W35" s="73"/>
      <c r="X35" s="72"/>
      <c r="Y35" s="73"/>
      <c r="Z35" s="72"/>
      <c r="AA35" s="73"/>
      <c r="AB35" s="72">
        <v>30</v>
      </c>
      <c r="AC35" s="73">
        <v>27</v>
      </c>
      <c r="AD35" s="72"/>
      <c r="AE35" s="73"/>
      <c r="AF35" s="72"/>
      <c r="AG35" s="73"/>
      <c r="AH35" s="72"/>
      <c r="AI35" s="73"/>
      <c r="AJ35" s="72">
        <v>30</v>
      </c>
      <c r="AK35" s="73">
        <v>31</v>
      </c>
      <c r="AL35" s="72">
        <v>30</v>
      </c>
      <c r="AM35" s="73">
        <v>12</v>
      </c>
      <c r="AN35" s="72">
        <v>30</v>
      </c>
      <c r="AO35" s="73">
        <v>33</v>
      </c>
      <c r="AP35" s="72"/>
      <c r="AQ35" s="73"/>
      <c r="AR35" s="72"/>
      <c r="AS35" s="73"/>
      <c r="AT35" s="72">
        <v>30</v>
      </c>
      <c r="AU35" s="73">
        <v>33</v>
      </c>
      <c r="AV35" s="72">
        <v>30</v>
      </c>
      <c r="AW35" s="73">
        <v>24</v>
      </c>
      <c r="AX35" s="72"/>
      <c r="AY35" s="73"/>
      <c r="AZ35" s="72">
        <v>30</v>
      </c>
      <c r="BA35" s="73">
        <v>26</v>
      </c>
      <c r="BB35" s="72"/>
      <c r="BC35" s="73"/>
      <c r="BD35" s="72"/>
      <c r="BE35" s="73"/>
      <c r="BF35" s="72"/>
      <c r="BG35" s="73"/>
      <c r="BH35" s="72"/>
      <c r="BI35" s="73"/>
      <c r="BJ35" s="72"/>
      <c r="BK35" s="73"/>
      <c r="BL35" s="72"/>
      <c r="BM35" s="73"/>
      <c r="BN35" s="72"/>
      <c r="BO35" s="73"/>
      <c r="BP35" s="72"/>
      <c r="BQ35" s="73"/>
      <c r="BR35" s="72"/>
      <c r="BS35" s="73"/>
      <c r="BT35" s="72"/>
      <c r="BU35" s="73"/>
      <c r="BV35" s="72"/>
      <c r="BW35" s="73"/>
      <c r="BX35" s="72"/>
      <c r="BY35" s="73"/>
      <c r="BZ35" s="72"/>
      <c r="CA35" s="74"/>
      <c r="CB35" s="75"/>
      <c r="CC35" s="73"/>
      <c r="CD35" s="72"/>
      <c r="CE35" s="73"/>
      <c r="CF35" s="72"/>
      <c r="CG35" s="73"/>
      <c r="CH35" s="72"/>
      <c r="CI35" s="73"/>
      <c r="CJ35" s="72"/>
      <c r="CK35" s="73"/>
      <c r="CL35" s="72"/>
      <c r="CM35" s="73"/>
      <c r="CN35" s="72"/>
      <c r="CO35" s="73"/>
      <c r="CP35" s="72"/>
      <c r="CQ35" s="73"/>
      <c r="CR35" s="72"/>
      <c r="CS35" s="73"/>
      <c r="CT35" s="72"/>
      <c r="CU35" s="73"/>
      <c r="CV35" s="72"/>
      <c r="CW35" s="73"/>
      <c r="CX35" s="72"/>
      <c r="CY35" s="73"/>
      <c r="CZ35" s="72"/>
      <c r="DA35" s="73"/>
      <c r="DB35" s="72"/>
      <c r="DC35" s="73"/>
      <c r="DD35" s="72"/>
      <c r="DE35" s="73"/>
      <c r="DF35" s="72"/>
      <c r="DG35" s="73"/>
      <c r="DH35" s="72"/>
      <c r="DI35" s="73"/>
      <c r="DJ35" s="72"/>
      <c r="DK35" s="73"/>
      <c r="DL35" s="72"/>
      <c r="DM35" s="73"/>
      <c r="DN35" s="72"/>
      <c r="DO35" s="73"/>
      <c r="DP35" s="72"/>
      <c r="DQ35" s="73"/>
      <c r="DR35" s="72"/>
      <c r="DS35" s="73"/>
      <c r="DT35" s="72"/>
      <c r="DU35" s="73"/>
      <c r="DV35" s="72"/>
      <c r="DW35" s="73"/>
      <c r="DX35" s="72"/>
      <c r="DY35" s="73"/>
      <c r="DZ35" s="72"/>
      <c r="EA35" s="73"/>
      <c r="EB35" s="72"/>
      <c r="EC35" s="73"/>
    </row>
    <row r="36" spans="2:133" x14ac:dyDescent="0.2">
      <c r="B36" s="72">
        <v>31</v>
      </c>
      <c r="C36" s="73">
        <v>55</v>
      </c>
      <c r="D36" s="72">
        <v>31</v>
      </c>
      <c r="E36" s="73">
        <v>18</v>
      </c>
      <c r="F36" s="72"/>
      <c r="G36" s="73"/>
      <c r="H36" s="72">
        <v>31</v>
      </c>
      <c r="I36" s="73">
        <v>54</v>
      </c>
      <c r="J36" s="72">
        <v>31</v>
      </c>
      <c r="K36" s="73">
        <v>30</v>
      </c>
      <c r="L36" s="72"/>
      <c r="M36" s="73"/>
      <c r="N36" s="72"/>
      <c r="O36" s="73"/>
      <c r="P36" s="72"/>
      <c r="Q36" s="73"/>
      <c r="R36" s="72">
        <v>31</v>
      </c>
      <c r="S36" s="73">
        <v>13</v>
      </c>
      <c r="T36" s="72"/>
      <c r="U36" s="73"/>
      <c r="V36" s="72"/>
      <c r="W36" s="73"/>
      <c r="X36" s="72"/>
      <c r="Y36" s="73"/>
      <c r="Z36" s="72"/>
      <c r="AA36" s="73"/>
      <c r="AB36" s="72">
        <v>31</v>
      </c>
      <c r="AC36" s="73">
        <v>21</v>
      </c>
      <c r="AD36" s="72"/>
      <c r="AE36" s="73"/>
      <c r="AF36" s="72"/>
      <c r="AG36" s="73"/>
      <c r="AH36" s="72"/>
      <c r="AI36" s="73"/>
      <c r="AJ36" s="72">
        <v>31</v>
      </c>
      <c r="AK36" s="73">
        <v>40</v>
      </c>
      <c r="AL36" s="72">
        <v>31</v>
      </c>
      <c r="AM36" s="73">
        <v>24</v>
      </c>
      <c r="AN36" s="72">
        <v>31</v>
      </c>
      <c r="AO36" s="73">
        <v>31</v>
      </c>
      <c r="AP36" s="72"/>
      <c r="AQ36" s="73"/>
      <c r="AR36" s="72"/>
      <c r="AS36" s="73"/>
      <c r="AT36" s="72">
        <v>31</v>
      </c>
      <c r="AU36" s="73">
        <v>9</v>
      </c>
      <c r="AV36" s="72">
        <v>31</v>
      </c>
      <c r="AW36" s="73">
        <v>40</v>
      </c>
      <c r="AX36" s="72"/>
      <c r="AY36" s="73"/>
      <c r="AZ36" s="72">
        <v>31</v>
      </c>
      <c r="BA36" s="73">
        <v>18</v>
      </c>
      <c r="BB36" s="72"/>
      <c r="BC36" s="73"/>
      <c r="BD36" s="72"/>
      <c r="BE36" s="73"/>
      <c r="BF36" s="72"/>
      <c r="BG36" s="73"/>
      <c r="BH36" s="72"/>
      <c r="BI36" s="73"/>
      <c r="BJ36" s="72"/>
      <c r="BK36" s="73"/>
      <c r="BL36" s="72"/>
      <c r="BM36" s="73"/>
      <c r="BN36" s="72"/>
      <c r="BO36" s="73"/>
      <c r="BP36" s="72"/>
      <c r="BQ36" s="73"/>
      <c r="BR36" s="72"/>
      <c r="BS36" s="73"/>
      <c r="BT36" s="72"/>
      <c r="BU36" s="73"/>
      <c r="BV36" s="72"/>
      <c r="BW36" s="73"/>
      <c r="BX36" s="72"/>
      <c r="BY36" s="73"/>
      <c r="BZ36" s="72"/>
      <c r="CA36" s="74"/>
      <c r="CB36" s="75"/>
      <c r="CC36" s="73"/>
      <c r="CD36" s="72"/>
      <c r="CE36" s="73"/>
      <c r="CF36" s="72"/>
      <c r="CG36" s="73"/>
      <c r="CH36" s="72"/>
      <c r="CI36" s="73"/>
      <c r="CJ36" s="72"/>
      <c r="CK36" s="73"/>
      <c r="CL36" s="72"/>
      <c r="CM36" s="73"/>
      <c r="CN36" s="72"/>
      <c r="CO36" s="73"/>
      <c r="CP36" s="72"/>
      <c r="CQ36" s="73"/>
      <c r="CR36" s="72"/>
      <c r="CS36" s="73"/>
      <c r="CT36" s="72"/>
      <c r="CU36" s="73"/>
      <c r="CV36" s="72"/>
      <c r="CW36" s="73"/>
      <c r="CX36" s="72"/>
      <c r="CY36" s="73"/>
      <c r="CZ36" s="72"/>
      <c r="DA36" s="73"/>
      <c r="DB36" s="72"/>
      <c r="DC36" s="73"/>
      <c r="DD36" s="72"/>
      <c r="DE36" s="73"/>
      <c r="DF36" s="72"/>
      <c r="DG36" s="73"/>
      <c r="DH36" s="72"/>
      <c r="DI36" s="73"/>
      <c r="DJ36" s="72"/>
      <c r="DK36" s="73"/>
      <c r="DL36" s="72"/>
      <c r="DM36" s="73"/>
      <c r="DN36" s="72"/>
      <c r="DO36" s="73"/>
      <c r="DP36" s="72"/>
      <c r="DQ36" s="73"/>
      <c r="DR36" s="72"/>
      <c r="DS36" s="73"/>
      <c r="DT36" s="72"/>
      <c r="DU36" s="73"/>
      <c r="DV36" s="72"/>
      <c r="DW36" s="73"/>
      <c r="DX36" s="72"/>
      <c r="DY36" s="73"/>
      <c r="DZ36" s="72"/>
      <c r="EA36" s="73"/>
      <c r="EB36" s="72"/>
      <c r="EC36" s="73"/>
    </row>
    <row r="37" spans="2:133" x14ac:dyDescent="0.2">
      <c r="B37" s="72">
        <v>32</v>
      </c>
      <c r="C37" s="73">
        <v>32</v>
      </c>
      <c r="D37" s="72">
        <v>32</v>
      </c>
      <c r="E37" s="73">
        <v>35</v>
      </c>
      <c r="F37" s="72"/>
      <c r="G37" s="73"/>
      <c r="H37" s="72">
        <v>32</v>
      </c>
      <c r="I37" s="73">
        <v>42</v>
      </c>
      <c r="J37" s="72">
        <v>32</v>
      </c>
      <c r="K37" s="73">
        <v>52</v>
      </c>
      <c r="L37" s="72"/>
      <c r="M37" s="73"/>
      <c r="N37" s="72"/>
      <c r="O37" s="73"/>
      <c r="P37" s="72"/>
      <c r="Q37" s="73"/>
      <c r="R37" s="72"/>
      <c r="S37" s="73"/>
      <c r="T37" s="72"/>
      <c r="U37" s="73"/>
      <c r="V37" s="72"/>
      <c r="W37" s="73"/>
      <c r="X37" s="72"/>
      <c r="Y37" s="73"/>
      <c r="Z37" s="72"/>
      <c r="AA37" s="73"/>
      <c r="AB37" s="72">
        <v>32</v>
      </c>
      <c r="AC37" s="73">
        <v>33</v>
      </c>
      <c r="AD37" s="72"/>
      <c r="AE37" s="73"/>
      <c r="AF37" s="72"/>
      <c r="AG37" s="73"/>
      <c r="AH37" s="72"/>
      <c r="AI37" s="73"/>
      <c r="AJ37" s="72">
        <v>32</v>
      </c>
      <c r="AK37" s="73">
        <v>22</v>
      </c>
      <c r="AL37" s="72">
        <v>32</v>
      </c>
      <c r="AM37" s="73">
        <v>11</v>
      </c>
      <c r="AN37" s="72"/>
      <c r="AO37" s="73"/>
      <c r="AP37" s="72"/>
      <c r="AQ37" s="73"/>
      <c r="AR37" s="72"/>
      <c r="AS37" s="73"/>
      <c r="AT37" s="72">
        <v>32</v>
      </c>
      <c r="AU37" s="73">
        <v>20</v>
      </c>
      <c r="AV37" s="72">
        <v>32</v>
      </c>
      <c r="AW37" s="73">
        <v>44</v>
      </c>
      <c r="AX37" s="72"/>
      <c r="AY37" s="73"/>
      <c r="AZ37" s="72">
        <v>32</v>
      </c>
      <c r="BA37" s="73">
        <v>32</v>
      </c>
      <c r="BB37" s="72"/>
      <c r="BC37" s="73"/>
      <c r="BD37" s="72"/>
      <c r="BE37" s="73"/>
      <c r="BF37" s="72"/>
      <c r="BG37" s="73"/>
      <c r="BH37" s="72"/>
      <c r="BI37" s="73"/>
      <c r="BJ37" s="72"/>
      <c r="BK37" s="73"/>
      <c r="BL37" s="72"/>
      <c r="BM37" s="73"/>
      <c r="BN37" s="72"/>
      <c r="BO37" s="73"/>
      <c r="BP37" s="72"/>
      <c r="BQ37" s="73"/>
      <c r="BR37" s="72"/>
      <c r="BS37" s="73"/>
      <c r="BT37" s="72"/>
      <c r="BU37" s="73"/>
      <c r="BV37" s="72"/>
      <c r="BW37" s="73"/>
      <c r="BX37" s="72"/>
      <c r="BY37" s="73"/>
      <c r="BZ37" s="72"/>
      <c r="CA37" s="74"/>
      <c r="CB37" s="75"/>
      <c r="CC37" s="73"/>
      <c r="CD37" s="72"/>
      <c r="CE37" s="73"/>
      <c r="CF37" s="72"/>
      <c r="CG37" s="73"/>
      <c r="CH37" s="72"/>
      <c r="CI37" s="73"/>
      <c r="CJ37" s="72"/>
      <c r="CK37" s="73"/>
      <c r="CL37" s="72"/>
      <c r="CM37" s="73"/>
      <c r="CN37" s="72"/>
      <c r="CO37" s="73"/>
      <c r="CP37" s="72"/>
      <c r="CQ37" s="73"/>
      <c r="CR37" s="72"/>
      <c r="CS37" s="73"/>
      <c r="CT37" s="72"/>
      <c r="CU37" s="73"/>
      <c r="CV37" s="72"/>
      <c r="CW37" s="73"/>
      <c r="CX37" s="72"/>
      <c r="CY37" s="73"/>
      <c r="CZ37" s="72"/>
      <c r="DA37" s="73"/>
      <c r="DB37" s="72"/>
      <c r="DC37" s="73"/>
      <c r="DD37" s="72"/>
      <c r="DE37" s="73"/>
      <c r="DF37" s="72"/>
      <c r="DG37" s="73"/>
      <c r="DH37" s="72"/>
      <c r="DI37" s="73"/>
      <c r="DJ37" s="72"/>
      <c r="DK37" s="73"/>
      <c r="DL37" s="72"/>
      <c r="DM37" s="73"/>
      <c r="DN37" s="72"/>
      <c r="DO37" s="73"/>
      <c r="DP37" s="72"/>
      <c r="DQ37" s="73"/>
      <c r="DR37" s="72"/>
      <c r="DS37" s="73"/>
      <c r="DT37" s="72"/>
      <c r="DU37" s="73"/>
      <c r="DV37" s="72"/>
      <c r="DW37" s="73"/>
      <c r="DX37" s="72"/>
      <c r="DY37" s="73"/>
      <c r="DZ37" s="72"/>
      <c r="EA37" s="73"/>
      <c r="EB37" s="72"/>
      <c r="EC37" s="73"/>
    </row>
    <row r="38" spans="2:133" x14ac:dyDescent="0.2">
      <c r="B38" s="72">
        <v>33</v>
      </c>
      <c r="C38" s="73">
        <v>20</v>
      </c>
      <c r="D38" s="72">
        <v>33</v>
      </c>
      <c r="E38" s="73">
        <v>23</v>
      </c>
      <c r="F38" s="72"/>
      <c r="G38" s="73"/>
      <c r="H38" s="72">
        <v>33</v>
      </c>
      <c r="I38" s="73">
        <v>56</v>
      </c>
      <c r="J38" s="72">
        <v>33</v>
      </c>
      <c r="K38" s="73">
        <v>29</v>
      </c>
      <c r="L38" s="72"/>
      <c r="M38" s="73"/>
      <c r="N38" s="72"/>
      <c r="O38" s="73"/>
      <c r="P38" s="72"/>
      <c r="Q38" s="73"/>
      <c r="R38" s="72"/>
      <c r="S38" s="73"/>
      <c r="T38" s="72"/>
      <c r="U38" s="73"/>
      <c r="V38" s="72"/>
      <c r="W38" s="73"/>
      <c r="X38" s="72"/>
      <c r="Y38" s="73"/>
      <c r="Z38" s="72"/>
      <c r="AA38" s="73"/>
      <c r="AB38" s="72">
        <v>33</v>
      </c>
      <c r="AC38" s="73">
        <v>25</v>
      </c>
      <c r="AD38" s="72"/>
      <c r="AE38" s="73"/>
      <c r="AF38" s="72"/>
      <c r="AG38" s="73"/>
      <c r="AH38" s="72"/>
      <c r="AI38" s="73"/>
      <c r="AJ38" s="72">
        <v>33</v>
      </c>
      <c r="AK38" s="73">
        <v>33</v>
      </c>
      <c r="AL38" s="72">
        <v>33</v>
      </c>
      <c r="AM38" s="73">
        <v>22</v>
      </c>
      <c r="AN38" s="72"/>
      <c r="AO38" s="73"/>
      <c r="AP38" s="72"/>
      <c r="AQ38" s="73"/>
      <c r="AR38" s="72"/>
      <c r="AS38" s="73"/>
      <c r="AT38" s="72">
        <v>33</v>
      </c>
      <c r="AU38" s="73">
        <v>24</v>
      </c>
      <c r="AV38" s="72">
        <v>33</v>
      </c>
      <c r="AW38" s="73">
        <v>26</v>
      </c>
      <c r="AX38" s="72"/>
      <c r="AY38" s="73"/>
      <c r="AZ38" s="72">
        <v>33</v>
      </c>
      <c r="BA38" s="73">
        <v>33</v>
      </c>
      <c r="BB38" s="72"/>
      <c r="BC38" s="73"/>
      <c r="BD38" s="72"/>
      <c r="BE38" s="73"/>
      <c r="BF38" s="72"/>
      <c r="BG38" s="73"/>
      <c r="BH38" s="72"/>
      <c r="BI38" s="73"/>
      <c r="BJ38" s="72"/>
      <c r="BK38" s="73"/>
      <c r="BL38" s="72"/>
      <c r="BM38" s="73"/>
      <c r="BN38" s="72"/>
      <c r="BO38" s="73"/>
      <c r="BP38" s="72"/>
      <c r="BQ38" s="73"/>
      <c r="BR38" s="72"/>
      <c r="BS38" s="73"/>
      <c r="BT38" s="72"/>
      <c r="BU38" s="73"/>
      <c r="BV38" s="72"/>
      <c r="BW38" s="73"/>
      <c r="BX38" s="72"/>
      <c r="BY38" s="73"/>
      <c r="BZ38" s="72"/>
      <c r="CA38" s="74"/>
      <c r="CB38" s="75"/>
      <c r="CC38" s="73"/>
      <c r="CD38" s="72"/>
      <c r="CE38" s="73"/>
      <c r="CF38" s="72"/>
      <c r="CG38" s="73"/>
      <c r="CH38" s="72"/>
      <c r="CI38" s="73"/>
      <c r="CJ38" s="72"/>
      <c r="CK38" s="73"/>
      <c r="CL38" s="72"/>
      <c r="CM38" s="73"/>
      <c r="CN38" s="72"/>
      <c r="CO38" s="73"/>
      <c r="CP38" s="72"/>
      <c r="CQ38" s="73"/>
      <c r="CR38" s="72"/>
      <c r="CS38" s="73"/>
      <c r="CT38" s="72"/>
      <c r="CU38" s="73"/>
      <c r="CV38" s="72"/>
      <c r="CW38" s="73"/>
      <c r="CX38" s="72"/>
      <c r="CY38" s="73"/>
      <c r="CZ38" s="72"/>
      <c r="DA38" s="73"/>
      <c r="DB38" s="72"/>
      <c r="DC38" s="73"/>
      <c r="DD38" s="72"/>
      <c r="DE38" s="73"/>
      <c r="DF38" s="72"/>
      <c r="DG38" s="73"/>
      <c r="DH38" s="72"/>
      <c r="DI38" s="73"/>
      <c r="DJ38" s="72"/>
      <c r="DK38" s="73"/>
      <c r="DL38" s="72"/>
      <c r="DM38" s="73"/>
      <c r="DN38" s="72"/>
      <c r="DO38" s="73"/>
      <c r="DP38" s="72"/>
      <c r="DQ38" s="73"/>
      <c r="DR38" s="72"/>
      <c r="DS38" s="73"/>
      <c r="DT38" s="72"/>
      <c r="DU38" s="73"/>
      <c r="DV38" s="72"/>
      <c r="DW38" s="73"/>
      <c r="DX38" s="72"/>
      <c r="DY38" s="73"/>
      <c r="DZ38" s="72"/>
      <c r="EA38" s="73"/>
      <c r="EB38" s="72"/>
      <c r="EC38" s="73"/>
    </row>
    <row r="39" spans="2:133" x14ac:dyDescent="0.2">
      <c r="B39" s="72">
        <v>34</v>
      </c>
      <c r="C39" s="73">
        <v>31</v>
      </c>
      <c r="D39" s="72">
        <v>34</v>
      </c>
      <c r="E39" s="73">
        <v>35</v>
      </c>
      <c r="F39" s="72"/>
      <c r="G39" s="73"/>
      <c r="H39" s="72">
        <v>34</v>
      </c>
      <c r="I39" s="73">
        <v>29</v>
      </c>
      <c r="J39" s="72">
        <v>34</v>
      </c>
      <c r="K39" s="73">
        <v>12</v>
      </c>
      <c r="L39" s="72"/>
      <c r="M39" s="73"/>
      <c r="N39" s="72"/>
      <c r="O39" s="73"/>
      <c r="P39" s="72"/>
      <c r="Q39" s="73"/>
      <c r="R39" s="72"/>
      <c r="S39" s="73"/>
      <c r="T39" s="72"/>
      <c r="U39" s="73"/>
      <c r="V39" s="72"/>
      <c r="W39" s="73"/>
      <c r="X39" s="72"/>
      <c r="Y39" s="73"/>
      <c r="Z39" s="72"/>
      <c r="AA39" s="73"/>
      <c r="AB39" s="72">
        <v>34</v>
      </c>
      <c r="AC39" s="73">
        <v>33</v>
      </c>
      <c r="AD39" s="72"/>
      <c r="AE39" s="73"/>
      <c r="AF39" s="72"/>
      <c r="AG39" s="73"/>
      <c r="AH39" s="72"/>
      <c r="AI39" s="73"/>
      <c r="AJ39" s="72">
        <v>34</v>
      </c>
      <c r="AK39" s="73">
        <v>37</v>
      </c>
      <c r="AL39" s="72">
        <v>34</v>
      </c>
      <c r="AM39" s="73">
        <v>22</v>
      </c>
      <c r="AN39" s="72"/>
      <c r="AO39" s="73"/>
      <c r="AP39" s="72"/>
      <c r="AQ39" s="73"/>
      <c r="AR39" s="72"/>
      <c r="AS39" s="73"/>
      <c r="AT39" s="72">
        <v>34</v>
      </c>
      <c r="AU39" s="73">
        <v>17</v>
      </c>
      <c r="AV39" s="72">
        <v>34</v>
      </c>
      <c r="AW39" s="73">
        <v>22</v>
      </c>
      <c r="AX39" s="72"/>
      <c r="AY39" s="73"/>
      <c r="AZ39" s="72">
        <v>34</v>
      </c>
      <c r="BA39" s="73">
        <v>31</v>
      </c>
      <c r="BB39" s="72"/>
      <c r="BC39" s="73"/>
      <c r="BD39" s="72"/>
      <c r="BE39" s="73"/>
      <c r="BF39" s="72"/>
      <c r="BG39" s="73"/>
      <c r="BH39" s="72"/>
      <c r="BI39" s="73"/>
      <c r="BJ39" s="72"/>
      <c r="BK39" s="73"/>
      <c r="BL39" s="72"/>
      <c r="BM39" s="73"/>
      <c r="BN39" s="72"/>
      <c r="BO39" s="73"/>
      <c r="BP39" s="72"/>
      <c r="BQ39" s="73"/>
      <c r="BR39" s="72"/>
      <c r="BS39" s="73"/>
      <c r="BT39" s="72"/>
      <c r="BU39" s="73"/>
      <c r="BV39" s="72"/>
      <c r="BW39" s="73"/>
      <c r="BX39" s="72"/>
      <c r="BY39" s="73"/>
      <c r="BZ39" s="72"/>
      <c r="CA39" s="74"/>
      <c r="CB39" s="75"/>
      <c r="CC39" s="73"/>
      <c r="CD39" s="72"/>
      <c r="CE39" s="73"/>
      <c r="CF39" s="72"/>
      <c r="CG39" s="73"/>
      <c r="CH39" s="72"/>
      <c r="CI39" s="73"/>
      <c r="CJ39" s="72"/>
      <c r="CK39" s="73"/>
      <c r="CL39" s="72"/>
      <c r="CM39" s="73"/>
      <c r="CN39" s="72"/>
      <c r="CO39" s="73"/>
      <c r="CP39" s="72"/>
      <c r="CQ39" s="73"/>
      <c r="CR39" s="72"/>
      <c r="CS39" s="73"/>
      <c r="CT39" s="72"/>
      <c r="CU39" s="73"/>
      <c r="CV39" s="72"/>
      <c r="CW39" s="73"/>
      <c r="CX39" s="72"/>
      <c r="CY39" s="73"/>
      <c r="CZ39" s="72"/>
      <c r="DA39" s="73"/>
      <c r="DB39" s="72"/>
      <c r="DC39" s="73"/>
      <c r="DD39" s="72"/>
      <c r="DE39" s="73"/>
      <c r="DF39" s="72"/>
      <c r="DG39" s="73"/>
      <c r="DH39" s="72"/>
      <c r="DI39" s="73"/>
      <c r="DJ39" s="72"/>
      <c r="DK39" s="73"/>
      <c r="DL39" s="72"/>
      <c r="DM39" s="73"/>
      <c r="DN39" s="72"/>
      <c r="DO39" s="73"/>
      <c r="DP39" s="72"/>
      <c r="DQ39" s="73"/>
      <c r="DR39" s="72"/>
      <c r="DS39" s="73"/>
      <c r="DT39" s="72"/>
      <c r="DU39" s="73"/>
      <c r="DV39" s="72"/>
      <c r="DW39" s="73"/>
      <c r="DX39" s="72"/>
      <c r="DY39" s="73"/>
      <c r="DZ39" s="72"/>
      <c r="EA39" s="73"/>
      <c r="EB39" s="72"/>
      <c r="EC39" s="73"/>
    </row>
    <row r="40" spans="2:133" x14ac:dyDescent="0.2">
      <c r="B40" s="72">
        <v>35</v>
      </c>
      <c r="C40" s="73">
        <v>29</v>
      </c>
      <c r="D40" s="72">
        <v>35</v>
      </c>
      <c r="E40" s="73">
        <v>35</v>
      </c>
      <c r="F40" s="72"/>
      <c r="G40" s="73"/>
      <c r="H40" s="72">
        <v>35</v>
      </c>
      <c r="I40" s="73">
        <v>34</v>
      </c>
      <c r="J40" s="72"/>
      <c r="K40" s="73"/>
      <c r="L40" s="72"/>
      <c r="M40" s="73"/>
      <c r="N40" s="72"/>
      <c r="O40" s="73"/>
      <c r="P40" s="72"/>
      <c r="Q40" s="73"/>
      <c r="R40" s="72"/>
      <c r="S40" s="73"/>
      <c r="T40" s="72"/>
      <c r="U40" s="73"/>
      <c r="V40" s="72"/>
      <c r="W40" s="73"/>
      <c r="X40" s="72"/>
      <c r="Y40" s="73"/>
      <c r="Z40" s="72"/>
      <c r="AA40" s="73"/>
      <c r="AB40" s="72">
        <v>35</v>
      </c>
      <c r="AC40" s="73">
        <v>27</v>
      </c>
      <c r="AD40" s="72"/>
      <c r="AE40" s="73"/>
      <c r="AF40" s="72"/>
      <c r="AG40" s="73"/>
      <c r="AH40" s="72"/>
      <c r="AI40" s="73"/>
      <c r="AJ40" s="72">
        <v>35</v>
      </c>
      <c r="AK40" s="73">
        <v>16</v>
      </c>
      <c r="AL40" s="72">
        <v>35</v>
      </c>
      <c r="AM40" s="73">
        <v>28</v>
      </c>
      <c r="AN40" s="72"/>
      <c r="AO40" s="73"/>
      <c r="AP40" s="72"/>
      <c r="AQ40" s="73"/>
      <c r="AR40" s="72"/>
      <c r="AS40" s="73"/>
      <c r="AT40" s="72">
        <v>35</v>
      </c>
      <c r="AU40" s="73">
        <v>10</v>
      </c>
      <c r="AV40" s="72">
        <v>35</v>
      </c>
      <c r="AW40" s="73">
        <v>19</v>
      </c>
      <c r="AX40" s="72"/>
      <c r="AY40" s="73"/>
      <c r="AZ40" s="72">
        <v>35</v>
      </c>
      <c r="BA40" s="73">
        <v>15</v>
      </c>
      <c r="BB40" s="72"/>
      <c r="BC40" s="73"/>
      <c r="BD40" s="72"/>
      <c r="BE40" s="73"/>
      <c r="BF40" s="72"/>
      <c r="BG40" s="73"/>
      <c r="BH40" s="72"/>
      <c r="BI40" s="73"/>
      <c r="BJ40" s="72"/>
      <c r="BK40" s="73"/>
      <c r="BL40" s="72"/>
      <c r="BM40" s="73"/>
      <c r="BN40" s="72"/>
      <c r="BO40" s="73"/>
      <c r="BP40" s="72"/>
      <c r="BQ40" s="73"/>
      <c r="BR40" s="72"/>
      <c r="BS40" s="73"/>
      <c r="BT40" s="72"/>
      <c r="BU40" s="73"/>
      <c r="BV40" s="72"/>
      <c r="BW40" s="73"/>
      <c r="BX40" s="72"/>
      <c r="BY40" s="73"/>
      <c r="BZ40" s="72"/>
      <c r="CA40" s="74"/>
      <c r="CB40" s="75"/>
      <c r="CC40" s="73"/>
      <c r="CD40" s="72"/>
      <c r="CE40" s="73"/>
      <c r="CF40" s="72"/>
      <c r="CG40" s="73"/>
      <c r="CH40" s="72"/>
      <c r="CI40" s="73"/>
      <c r="CJ40" s="72"/>
      <c r="CK40" s="73"/>
      <c r="CL40" s="72"/>
      <c r="CM40" s="73"/>
      <c r="CN40" s="72"/>
      <c r="CO40" s="73"/>
      <c r="CP40" s="72"/>
      <c r="CQ40" s="73"/>
      <c r="CR40" s="72"/>
      <c r="CS40" s="73"/>
      <c r="CT40" s="72"/>
      <c r="CU40" s="73"/>
      <c r="CV40" s="72"/>
      <c r="CW40" s="73"/>
      <c r="CX40" s="72"/>
      <c r="CY40" s="73"/>
      <c r="CZ40" s="72"/>
      <c r="DA40" s="73"/>
      <c r="DB40" s="72"/>
      <c r="DC40" s="73"/>
      <c r="DD40" s="72"/>
      <c r="DE40" s="73"/>
      <c r="DF40" s="72"/>
      <c r="DG40" s="73"/>
      <c r="DH40" s="72"/>
      <c r="DI40" s="73"/>
      <c r="DJ40" s="72"/>
      <c r="DK40" s="73"/>
      <c r="DL40" s="72"/>
      <c r="DM40" s="73"/>
      <c r="DN40" s="72"/>
      <c r="DO40" s="73"/>
      <c r="DP40" s="72"/>
      <c r="DQ40" s="73"/>
      <c r="DR40" s="72"/>
      <c r="DS40" s="73"/>
      <c r="DT40" s="72"/>
      <c r="DU40" s="73"/>
      <c r="DV40" s="72"/>
      <c r="DW40" s="73"/>
      <c r="DX40" s="72"/>
      <c r="DY40" s="73"/>
      <c r="DZ40" s="72"/>
      <c r="EA40" s="73"/>
      <c r="EB40" s="72"/>
      <c r="EC40" s="73"/>
    </row>
    <row r="41" spans="2:133" x14ac:dyDescent="0.2">
      <c r="B41" s="72">
        <v>36</v>
      </c>
      <c r="C41" s="73">
        <v>43</v>
      </c>
      <c r="D41" s="72">
        <v>36</v>
      </c>
      <c r="E41" s="73">
        <v>38</v>
      </c>
      <c r="F41" s="72"/>
      <c r="G41" s="73"/>
      <c r="H41" s="72">
        <v>36</v>
      </c>
      <c r="I41" s="73">
        <v>13</v>
      </c>
      <c r="J41" s="72"/>
      <c r="K41" s="73"/>
      <c r="L41" s="72"/>
      <c r="M41" s="73"/>
      <c r="N41" s="72"/>
      <c r="O41" s="73"/>
      <c r="P41" s="72"/>
      <c r="Q41" s="73"/>
      <c r="R41" s="72"/>
      <c r="S41" s="73"/>
      <c r="T41" s="72"/>
      <c r="U41" s="73"/>
      <c r="V41" s="72"/>
      <c r="W41" s="73"/>
      <c r="X41" s="72"/>
      <c r="Y41" s="73"/>
      <c r="Z41" s="72"/>
      <c r="AA41" s="73"/>
      <c r="AB41" s="72">
        <v>36</v>
      </c>
      <c r="AC41" s="73">
        <v>23</v>
      </c>
      <c r="AD41" s="72"/>
      <c r="AE41" s="73"/>
      <c r="AF41" s="72"/>
      <c r="AG41" s="73"/>
      <c r="AH41" s="72"/>
      <c r="AI41" s="73"/>
      <c r="AJ41" s="72">
        <v>36</v>
      </c>
      <c r="AK41" s="73">
        <v>33</v>
      </c>
      <c r="AL41" s="72">
        <v>36</v>
      </c>
      <c r="AM41" s="73">
        <v>12</v>
      </c>
      <c r="AN41" s="72"/>
      <c r="AO41" s="73"/>
      <c r="AP41" s="72"/>
      <c r="AQ41" s="73"/>
      <c r="AR41" s="72"/>
      <c r="AS41" s="73"/>
      <c r="AT41" s="72">
        <v>36</v>
      </c>
      <c r="AU41" s="73">
        <v>22</v>
      </c>
      <c r="AV41" s="72">
        <v>36</v>
      </c>
      <c r="AW41" s="73">
        <v>32</v>
      </c>
      <c r="AX41" s="72"/>
      <c r="AY41" s="73"/>
      <c r="AZ41" s="72">
        <v>36</v>
      </c>
      <c r="BA41" s="73">
        <v>38</v>
      </c>
      <c r="BB41" s="72"/>
      <c r="BC41" s="73"/>
      <c r="BD41" s="72"/>
      <c r="BE41" s="73"/>
      <c r="BF41" s="72"/>
      <c r="BG41" s="73"/>
      <c r="BH41" s="72"/>
      <c r="BI41" s="73"/>
      <c r="BJ41" s="72"/>
      <c r="BK41" s="73"/>
      <c r="BL41" s="72"/>
      <c r="BM41" s="73"/>
      <c r="BN41" s="72"/>
      <c r="BO41" s="73"/>
      <c r="BP41" s="72"/>
      <c r="BQ41" s="73"/>
      <c r="BR41" s="72"/>
      <c r="BS41" s="73"/>
      <c r="BT41" s="72"/>
      <c r="BU41" s="73"/>
      <c r="BV41" s="72"/>
      <c r="BW41" s="73"/>
      <c r="BX41" s="72"/>
      <c r="BY41" s="73"/>
      <c r="BZ41" s="72"/>
      <c r="CA41" s="74"/>
      <c r="CB41" s="75"/>
      <c r="CC41" s="73"/>
      <c r="CD41" s="72"/>
      <c r="CE41" s="73"/>
      <c r="CF41" s="72"/>
      <c r="CG41" s="73"/>
      <c r="CH41" s="72"/>
      <c r="CI41" s="73"/>
      <c r="CJ41" s="72"/>
      <c r="CK41" s="73"/>
      <c r="CL41" s="72"/>
      <c r="CM41" s="73"/>
      <c r="CN41" s="72"/>
      <c r="CO41" s="73"/>
      <c r="CP41" s="72"/>
      <c r="CQ41" s="73"/>
      <c r="CR41" s="72"/>
      <c r="CS41" s="73"/>
      <c r="CT41" s="72"/>
      <c r="CU41" s="73"/>
      <c r="CV41" s="72"/>
      <c r="CW41" s="73"/>
      <c r="CX41" s="72"/>
      <c r="CY41" s="73"/>
      <c r="CZ41" s="72"/>
      <c r="DA41" s="73"/>
      <c r="DB41" s="72"/>
      <c r="DC41" s="73"/>
      <c r="DD41" s="72"/>
      <c r="DE41" s="73"/>
      <c r="DF41" s="72"/>
      <c r="DG41" s="73"/>
      <c r="DH41" s="72"/>
      <c r="DI41" s="73"/>
      <c r="DJ41" s="72"/>
      <c r="DK41" s="73"/>
      <c r="DL41" s="72"/>
      <c r="DM41" s="73"/>
      <c r="DN41" s="72"/>
      <c r="DO41" s="73"/>
      <c r="DP41" s="72"/>
      <c r="DQ41" s="73"/>
      <c r="DR41" s="72"/>
      <c r="DS41" s="73"/>
      <c r="DT41" s="72"/>
      <c r="DU41" s="73"/>
      <c r="DV41" s="72"/>
      <c r="DW41" s="73"/>
      <c r="DX41" s="72"/>
      <c r="DY41" s="73"/>
      <c r="DZ41" s="72"/>
      <c r="EA41" s="73"/>
      <c r="EB41" s="72"/>
      <c r="EC41" s="73"/>
    </row>
    <row r="42" spans="2:133" x14ac:dyDescent="0.2">
      <c r="B42" s="72">
        <v>37</v>
      </c>
      <c r="C42" s="73">
        <v>36</v>
      </c>
      <c r="D42" s="72">
        <v>37</v>
      </c>
      <c r="E42" s="73">
        <v>29</v>
      </c>
      <c r="F42" s="72"/>
      <c r="G42" s="73"/>
      <c r="H42" s="72"/>
      <c r="I42" s="73"/>
      <c r="J42" s="72"/>
      <c r="K42" s="73"/>
      <c r="L42" s="72"/>
      <c r="M42" s="73"/>
      <c r="N42" s="72"/>
      <c r="O42" s="73"/>
      <c r="P42" s="72"/>
      <c r="Q42" s="73"/>
      <c r="R42" s="72"/>
      <c r="S42" s="73"/>
      <c r="T42" s="72"/>
      <c r="U42" s="73"/>
      <c r="V42" s="72"/>
      <c r="W42" s="73"/>
      <c r="X42" s="72"/>
      <c r="Y42" s="73"/>
      <c r="Z42" s="72"/>
      <c r="AA42" s="73"/>
      <c r="AB42" s="72"/>
      <c r="AC42" s="73"/>
      <c r="AD42" s="72"/>
      <c r="AE42" s="73"/>
      <c r="AF42" s="72"/>
      <c r="AG42" s="73"/>
      <c r="AH42" s="72"/>
      <c r="AI42" s="73"/>
      <c r="AJ42" s="72">
        <v>37</v>
      </c>
      <c r="AK42" s="73">
        <v>24</v>
      </c>
      <c r="AL42" s="72">
        <v>37</v>
      </c>
      <c r="AM42" s="73">
        <v>40</v>
      </c>
      <c r="AN42" s="72"/>
      <c r="AO42" s="73"/>
      <c r="AP42" s="72"/>
      <c r="AQ42" s="73"/>
      <c r="AR42" s="72"/>
      <c r="AS42" s="73"/>
      <c r="AT42" s="72">
        <v>37</v>
      </c>
      <c r="AU42" s="73">
        <v>38</v>
      </c>
      <c r="AV42" s="72">
        <v>37</v>
      </c>
      <c r="AW42" s="73">
        <v>21</v>
      </c>
      <c r="AX42" s="72"/>
      <c r="AY42" s="73"/>
      <c r="AZ42" s="72">
        <v>37</v>
      </c>
      <c r="BA42" s="73">
        <v>28</v>
      </c>
      <c r="BB42" s="72"/>
      <c r="BC42" s="73"/>
      <c r="BD42" s="72"/>
      <c r="BE42" s="73"/>
      <c r="BF42" s="72"/>
      <c r="BG42" s="73"/>
      <c r="BH42" s="72"/>
      <c r="BI42" s="73"/>
      <c r="BJ42" s="72"/>
      <c r="BK42" s="73"/>
      <c r="BL42" s="72"/>
      <c r="BM42" s="73"/>
      <c r="BN42" s="72"/>
      <c r="BO42" s="73"/>
      <c r="BP42" s="72"/>
      <c r="BQ42" s="73"/>
      <c r="BR42" s="72"/>
      <c r="BS42" s="73"/>
      <c r="BT42" s="72"/>
      <c r="BU42" s="73"/>
      <c r="BV42" s="72"/>
      <c r="BW42" s="73"/>
      <c r="BX42" s="72"/>
      <c r="BY42" s="73"/>
      <c r="BZ42" s="72"/>
      <c r="CA42" s="74"/>
      <c r="CB42" s="75"/>
      <c r="CC42" s="73"/>
      <c r="CD42" s="72"/>
      <c r="CE42" s="73"/>
      <c r="CF42" s="72"/>
      <c r="CG42" s="73"/>
      <c r="CH42" s="72"/>
      <c r="CI42" s="73"/>
      <c r="CJ42" s="72"/>
      <c r="CK42" s="73"/>
      <c r="CL42" s="72"/>
      <c r="CM42" s="73"/>
      <c r="CN42" s="72"/>
      <c r="CO42" s="73"/>
      <c r="CP42" s="72"/>
      <c r="CQ42" s="73"/>
      <c r="CR42" s="72"/>
      <c r="CS42" s="73"/>
      <c r="CT42" s="72"/>
      <c r="CU42" s="73"/>
      <c r="CV42" s="72"/>
      <c r="CW42" s="73"/>
      <c r="CX42" s="72"/>
      <c r="CY42" s="73"/>
      <c r="CZ42" s="72"/>
      <c r="DA42" s="73"/>
      <c r="DB42" s="72"/>
      <c r="DC42" s="73"/>
      <c r="DD42" s="72"/>
      <c r="DE42" s="73"/>
      <c r="DF42" s="72"/>
      <c r="DG42" s="73"/>
      <c r="DH42" s="72"/>
      <c r="DI42" s="73"/>
      <c r="DJ42" s="72"/>
      <c r="DK42" s="73"/>
      <c r="DL42" s="72"/>
      <c r="DM42" s="73"/>
      <c r="DN42" s="72"/>
      <c r="DO42" s="73"/>
      <c r="DP42" s="72"/>
      <c r="DQ42" s="73"/>
      <c r="DR42" s="72"/>
      <c r="DS42" s="73"/>
      <c r="DT42" s="72"/>
      <c r="DU42" s="73"/>
      <c r="DV42" s="72"/>
      <c r="DW42" s="73"/>
      <c r="DX42" s="72"/>
      <c r="DY42" s="73"/>
      <c r="DZ42" s="72"/>
      <c r="EA42" s="73"/>
      <c r="EB42" s="72"/>
      <c r="EC42" s="73"/>
    </row>
    <row r="43" spans="2:133" x14ac:dyDescent="0.2">
      <c r="B43" s="72">
        <v>38</v>
      </c>
      <c r="C43" s="73">
        <v>30</v>
      </c>
      <c r="D43" s="72">
        <v>38</v>
      </c>
      <c r="E43" s="73">
        <v>31</v>
      </c>
      <c r="F43" s="72"/>
      <c r="G43" s="73"/>
      <c r="H43" s="72"/>
      <c r="I43" s="73"/>
      <c r="J43" s="72"/>
      <c r="K43" s="73"/>
      <c r="L43" s="72"/>
      <c r="M43" s="73"/>
      <c r="N43" s="72"/>
      <c r="O43" s="73"/>
      <c r="P43" s="72"/>
      <c r="Q43" s="73"/>
      <c r="R43" s="72"/>
      <c r="S43" s="73"/>
      <c r="T43" s="72"/>
      <c r="U43" s="73"/>
      <c r="V43" s="72"/>
      <c r="W43" s="73"/>
      <c r="X43" s="72"/>
      <c r="Y43" s="73"/>
      <c r="Z43" s="72"/>
      <c r="AA43" s="73"/>
      <c r="AB43" s="72"/>
      <c r="AC43" s="73"/>
      <c r="AD43" s="72"/>
      <c r="AE43" s="73"/>
      <c r="AF43" s="72"/>
      <c r="AG43" s="73"/>
      <c r="AH43" s="72"/>
      <c r="AI43" s="73"/>
      <c r="AJ43" s="72">
        <v>38</v>
      </c>
      <c r="AK43" s="73">
        <v>41</v>
      </c>
      <c r="AL43" s="72">
        <v>38</v>
      </c>
      <c r="AM43" s="73">
        <v>22</v>
      </c>
      <c r="AN43" s="72"/>
      <c r="AO43" s="73"/>
      <c r="AP43" s="72"/>
      <c r="AQ43" s="73"/>
      <c r="AR43" s="72"/>
      <c r="AS43" s="73"/>
      <c r="AT43" s="72">
        <v>38</v>
      </c>
      <c r="AU43" s="73">
        <v>22</v>
      </c>
      <c r="AV43" s="72">
        <v>38</v>
      </c>
      <c r="AW43" s="73">
        <v>28</v>
      </c>
      <c r="AX43" s="72"/>
      <c r="AY43" s="73"/>
      <c r="AZ43" s="72">
        <v>38</v>
      </c>
      <c r="BA43" s="73">
        <v>23</v>
      </c>
      <c r="BB43" s="72"/>
      <c r="BC43" s="73"/>
      <c r="BD43" s="72"/>
      <c r="BE43" s="73"/>
      <c r="BF43" s="72"/>
      <c r="BG43" s="73"/>
      <c r="BH43" s="72"/>
      <c r="BI43" s="73"/>
      <c r="BJ43" s="72"/>
      <c r="BK43" s="73"/>
      <c r="BL43" s="72"/>
      <c r="BM43" s="73"/>
      <c r="BN43" s="72"/>
      <c r="BO43" s="73"/>
      <c r="BP43" s="72"/>
      <c r="BQ43" s="73"/>
      <c r="BR43" s="72"/>
      <c r="BS43" s="73"/>
      <c r="BT43" s="72"/>
      <c r="BU43" s="73"/>
      <c r="BV43" s="72"/>
      <c r="BW43" s="73"/>
      <c r="BX43" s="72"/>
      <c r="BY43" s="73"/>
      <c r="BZ43" s="72"/>
      <c r="CA43" s="74"/>
      <c r="CB43" s="75"/>
      <c r="CC43" s="73"/>
      <c r="CD43" s="72"/>
      <c r="CE43" s="73"/>
      <c r="CF43" s="72"/>
      <c r="CG43" s="73"/>
      <c r="CH43" s="72"/>
      <c r="CI43" s="73"/>
      <c r="CJ43" s="72"/>
      <c r="CK43" s="73"/>
      <c r="CL43" s="72"/>
      <c r="CM43" s="73"/>
      <c r="CN43" s="72"/>
      <c r="CO43" s="73"/>
      <c r="CP43" s="72"/>
      <c r="CQ43" s="73"/>
      <c r="CR43" s="72"/>
      <c r="CS43" s="73"/>
      <c r="CT43" s="72"/>
      <c r="CU43" s="73"/>
      <c r="CV43" s="72"/>
      <c r="CW43" s="73"/>
      <c r="CX43" s="72"/>
      <c r="CY43" s="73"/>
      <c r="CZ43" s="72"/>
      <c r="DA43" s="73"/>
      <c r="DB43" s="72"/>
      <c r="DC43" s="73"/>
      <c r="DD43" s="72"/>
      <c r="DE43" s="73"/>
      <c r="DF43" s="72"/>
      <c r="DG43" s="73"/>
      <c r="DH43" s="72"/>
      <c r="DI43" s="73"/>
      <c r="DJ43" s="72"/>
      <c r="DK43" s="73"/>
      <c r="DL43" s="72"/>
      <c r="DM43" s="73"/>
      <c r="DN43" s="72"/>
      <c r="DO43" s="73"/>
      <c r="DP43" s="72"/>
      <c r="DQ43" s="73"/>
      <c r="DR43" s="72"/>
      <c r="DS43" s="73"/>
      <c r="DT43" s="72"/>
      <c r="DU43" s="73"/>
      <c r="DV43" s="72"/>
      <c r="DW43" s="73"/>
      <c r="DX43" s="72"/>
      <c r="DY43" s="73"/>
      <c r="DZ43" s="72"/>
      <c r="EA43" s="73"/>
      <c r="EB43" s="72"/>
      <c r="EC43" s="73"/>
    </row>
    <row r="44" spans="2:133" x14ac:dyDescent="0.2">
      <c r="B44" s="72">
        <v>39</v>
      </c>
      <c r="C44" s="73">
        <v>23</v>
      </c>
      <c r="D44" s="72">
        <v>39</v>
      </c>
      <c r="E44" s="73">
        <v>43</v>
      </c>
      <c r="F44" s="72"/>
      <c r="G44" s="73"/>
      <c r="H44" s="72"/>
      <c r="I44" s="73"/>
      <c r="J44" s="72"/>
      <c r="K44" s="73"/>
      <c r="L44" s="72"/>
      <c r="M44" s="73"/>
      <c r="N44" s="72"/>
      <c r="O44" s="73"/>
      <c r="P44" s="72"/>
      <c r="Q44" s="73"/>
      <c r="R44" s="72"/>
      <c r="S44" s="73"/>
      <c r="T44" s="72"/>
      <c r="U44" s="73"/>
      <c r="V44" s="72"/>
      <c r="W44" s="73"/>
      <c r="X44" s="72"/>
      <c r="Y44" s="73"/>
      <c r="Z44" s="72"/>
      <c r="AA44" s="73"/>
      <c r="AB44" s="72"/>
      <c r="AC44" s="73"/>
      <c r="AD44" s="72"/>
      <c r="AE44" s="73"/>
      <c r="AF44" s="72"/>
      <c r="AG44" s="73"/>
      <c r="AH44" s="72"/>
      <c r="AI44" s="73"/>
      <c r="AJ44" s="72">
        <v>39</v>
      </c>
      <c r="AK44" s="73">
        <v>30</v>
      </c>
      <c r="AL44" s="72">
        <v>39</v>
      </c>
      <c r="AM44" s="73">
        <v>13</v>
      </c>
      <c r="AN44" s="72"/>
      <c r="AO44" s="73"/>
      <c r="AP44" s="72"/>
      <c r="AQ44" s="73"/>
      <c r="AR44" s="72"/>
      <c r="AS44" s="73"/>
      <c r="AT44" s="72">
        <v>39</v>
      </c>
      <c r="AU44" s="73">
        <v>8</v>
      </c>
      <c r="AV44" s="72">
        <v>39</v>
      </c>
      <c r="AW44" s="73">
        <v>18</v>
      </c>
      <c r="AX44" s="72"/>
      <c r="AY44" s="73"/>
      <c r="AZ44" s="72">
        <v>39</v>
      </c>
      <c r="BA44" s="73">
        <v>29</v>
      </c>
      <c r="BB44" s="72"/>
      <c r="BC44" s="73"/>
      <c r="BD44" s="72"/>
      <c r="BE44" s="73"/>
      <c r="BF44" s="72"/>
      <c r="BG44" s="73"/>
      <c r="BH44" s="72"/>
      <c r="BI44" s="73"/>
      <c r="BJ44" s="72"/>
      <c r="BK44" s="73"/>
      <c r="BL44" s="72"/>
      <c r="BM44" s="73"/>
      <c r="BN44" s="72"/>
      <c r="BO44" s="73"/>
      <c r="BP44" s="72"/>
      <c r="BQ44" s="73"/>
      <c r="BR44" s="72"/>
      <c r="BS44" s="73"/>
      <c r="BT44" s="72"/>
      <c r="BU44" s="73"/>
      <c r="BV44" s="72"/>
      <c r="BW44" s="73"/>
      <c r="BX44" s="72"/>
      <c r="BY44" s="73"/>
      <c r="BZ44" s="72"/>
      <c r="CA44" s="74"/>
      <c r="CB44" s="75"/>
      <c r="CC44" s="73"/>
      <c r="CD44" s="72"/>
      <c r="CE44" s="73"/>
      <c r="CF44" s="72"/>
      <c r="CG44" s="73"/>
      <c r="CH44" s="72"/>
      <c r="CI44" s="73"/>
      <c r="CJ44" s="72"/>
      <c r="CK44" s="73"/>
      <c r="CL44" s="72"/>
      <c r="CM44" s="73"/>
      <c r="CN44" s="72"/>
      <c r="CO44" s="73"/>
      <c r="CP44" s="72"/>
      <c r="CQ44" s="73"/>
      <c r="CR44" s="72"/>
      <c r="CS44" s="73"/>
      <c r="CT44" s="72"/>
      <c r="CU44" s="73"/>
      <c r="CV44" s="72"/>
      <c r="CW44" s="73"/>
      <c r="CX44" s="72"/>
      <c r="CY44" s="73"/>
      <c r="CZ44" s="72"/>
      <c r="DA44" s="73"/>
      <c r="DB44" s="72"/>
      <c r="DC44" s="73"/>
      <c r="DD44" s="72"/>
      <c r="DE44" s="73"/>
      <c r="DF44" s="72"/>
      <c r="DG44" s="73"/>
      <c r="DH44" s="72"/>
      <c r="DI44" s="73"/>
      <c r="DJ44" s="72"/>
      <c r="DK44" s="73"/>
      <c r="DL44" s="72"/>
      <c r="DM44" s="73"/>
      <c r="DN44" s="72"/>
      <c r="DO44" s="73"/>
      <c r="DP44" s="72"/>
      <c r="DQ44" s="73"/>
      <c r="DR44" s="72"/>
      <c r="DS44" s="73"/>
      <c r="DT44" s="72"/>
      <c r="DU44" s="73"/>
      <c r="DV44" s="72"/>
      <c r="DW44" s="73"/>
      <c r="DX44" s="72"/>
      <c r="DY44" s="73"/>
      <c r="DZ44" s="72"/>
      <c r="EA44" s="73"/>
      <c r="EB44" s="72"/>
      <c r="EC44" s="73"/>
    </row>
    <row r="45" spans="2:133" x14ac:dyDescent="0.2">
      <c r="B45" s="72">
        <v>40</v>
      </c>
      <c r="C45" s="73">
        <v>23</v>
      </c>
      <c r="D45" s="72">
        <v>40</v>
      </c>
      <c r="E45" s="73">
        <v>38</v>
      </c>
      <c r="F45" s="72"/>
      <c r="G45" s="73"/>
      <c r="H45" s="72"/>
      <c r="I45" s="73"/>
      <c r="J45" s="72"/>
      <c r="K45" s="73"/>
      <c r="L45" s="72"/>
      <c r="M45" s="73"/>
      <c r="N45" s="72"/>
      <c r="O45" s="73"/>
      <c r="P45" s="72"/>
      <c r="Q45" s="73"/>
      <c r="R45" s="72"/>
      <c r="S45" s="73"/>
      <c r="T45" s="72"/>
      <c r="U45" s="73"/>
      <c r="V45" s="72"/>
      <c r="W45" s="73"/>
      <c r="X45" s="72"/>
      <c r="Y45" s="73"/>
      <c r="Z45" s="72"/>
      <c r="AA45" s="73"/>
      <c r="AB45" s="72"/>
      <c r="AC45" s="73"/>
      <c r="AD45" s="72"/>
      <c r="AE45" s="73"/>
      <c r="AF45" s="72"/>
      <c r="AG45" s="73"/>
      <c r="AH45" s="72"/>
      <c r="AI45" s="73"/>
      <c r="AJ45" s="72">
        <v>40</v>
      </c>
      <c r="AK45" s="73">
        <v>24</v>
      </c>
      <c r="AL45" s="72">
        <v>40</v>
      </c>
      <c r="AM45" s="73">
        <v>17</v>
      </c>
      <c r="AN45" s="72"/>
      <c r="AO45" s="73"/>
      <c r="AP45" s="72"/>
      <c r="AQ45" s="73"/>
      <c r="AR45" s="72"/>
      <c r="AS45" s="73"/>
      <c r="AT45" s="72">
        <v>40</v>
      </c>
      <c r="AU45" s="73">
        <v>31</v>
      </c>
      <c r="AV45" s="72">
        <v>40</v>
      </c>
      <c r="AW45" s="73">
        <v>16</v>
      </c>
      <c r="AX45" s="72"/>
      <c r="AY45" s="73"/>
      <c r="AZ45" s="72">
        <v>40</v>
      </c>
      <c r="BA45" s="73">
        <v>49</v>
      </c>
      <c r="BB45" s="72"/>
      <c r="BC45" s="73"/>
      <c r="BD45" s="72"/>
      <c r="BE45" s="73"/>
      <c r="BF45" s="72"/>
      <c r="BG45" s="73"/>
      <c r="BH45" s="72"/>
      <c r="BI45" s="73"/>
      <c r="BJ45" s="72"/>
      <c r="BK45" s="73"/>
      <c r="BL45" s="72"/>
      <c r="BM45" s="73"/>
      <c r="BN45" s="72"/>
      <c r="BO45" s="73"/>
      <c r="BP45" s="72"/>
      <c r="BQ45" s="73"/>
      <c r="BR45" s="72"/>
      <c r="BS45" s="73"/>
      <c r="BT45" s="72"/>
      <c r="BU45" s="73"/>
      <c r="BV45" s="72"/>
      <c r="BW45" s="73"/>
      <c r="BX45" s="72"/>
      <c r="BY45" s="73"/>
      <c r="BZ45" s="72"/>
      <c r="CA45" s="74"/>
      <c r="CB45" s="75"/>
      <c r="CC45" s="73"/>
      <c r="CD45" s="72"/>
      <c r="CE45" s="73"/>
      <c r="CF45" s="72"/>
      <c r="CG45" s="73"/>
      <c r="CH45" s="72"/>
      <c r="CI45" s="73"/>
      <c r="CJ45" s="72"/>
      <c r="CK45" s="73"/>
      <c r="CL45" s="72"/>
      <c r="CM45" s="73"/>
      <c r="CN45" s="72"/>
      <c r="CO45" s="73"/>
      <c r="CP45" s="72"/>
      <c r="CQ45" s="73"/>
      <c r="CR45" s="72"/>
      <c r="CS45" s="73"/>
      <c r="CT45" s="72"/>
      <c r="CU45" s="73"/>
      <c r="CV45" s="72"/>
      <c r="CW45" s="73"/>
      <c r="CX45" s="72"/>
      <c r="CY45" s="73"/>
      <c r="CZ45" s="72"/>
      <c r="DA45" s="73"/>
      <c r="DB45" s="72"/>
      <c r="DC45" s="73"/>
      <c r="DD45" s="72"/>
      <c r="DE45" s="73"/>
      <c r="DF45" s="72"/>
      <c r="DG45" s="73"/>
      <c r="DH45" s="72"/>
      <c r="DI45" s="73"/>
      <c r="DJ45" s="72"/>
      <c r="DK45" s="73"/>
      <c r="DL45" s="72"/>
      <c r="DM45" s="73"/>
      <c r="DN45" s="72"/>
      <c r="DO45" s="73"/>
      <c r="DP45" s="72"/>
      <c r="DQ45" s="73"/>
      <c r="DR45" s="72"/>
      <c r="DS45" s="73"/>
      <c r="DT45" s="72"/>
      <c r="DU45" s="73"/>
      <c r="DV45" s="72"/>
      <c r="DW45" s="73"/>
      <c r="DX45" s="72"/>
      <c r="DY45" s="73"/>
      <c r="DZ45" s="72"/>
      <c r="EA45" s="73"/>
      <c r="EB45" s="72"/>
      <c r="EC45" s="73"/>
    </row>
    <row r="46" spans="2:133" x14ac:dyDescent="0.2">
      <c r="B46" s="72">
        <v>41</v>
      </c>
      <c r="C46" s="73">
        <v>57</v>
      </c>
      <c r="D46" s="72"/>
      <c r="E46" s="73"/>
      <c r="F46" s="72"/>
      <c r="G46" s="73"/>
      <c r="H46" s="72"/>
      <c r="I46" s="73"/>
      <c r="J46" s="72"/>
      <c r="K46" s="73"/>
      <c r="L46" s="72"/>
      <c r="M46" s="73"/>
      <c r="N46" s="72"/>
      <c r="O46" s="73"/>
      <c r="P46" s="72"/>
      <c r="Q46" s="73"/>
      <c r="R46" s="72"/>
      <c r="S46" s="73"/>
      <c r="T46" s="72"/>
      <c r="U46" s="73"/>
      <c r="V46" s="72"/>
      <c r="W46" s="73"/>
      <c r="X46" s="72"/>
      <c r="Y46" s="73"/>
      <c r="Z46" s="72"/>
      <c r="AA46" s="73"/>
      <c r="AB46" s="72"/>
      <c r="AC46" s="73"/>
      <c r="AD46" s="72"/>
      <c r="AE46" s="73"/>
      <c r="AF46" s="72"/>
      <c r="AG46" s="73"/>
      <c r="AH46" s="72"/>
      <c r="AI46" s="73"/>
      <c r="AJ46" s="72">
        <v>41</v>
      </c>
      <c r="AK46" s="73">
        <v>34</v>
      </c>
      <c r="AL46" s="72">
        <v>41</v>
      </c>
      <c r="AM46" s="73">
        <v>13</v>
      </c>
      <c r="AN46" s="72"/>
      <c r="AO46" s="73"/>
      <c r="AP46" s="72"/>
      <c r="AQ46" s="73"/>
      <c r="AR46" s="72"/>
      <c r="AS46" s="73"/>
      <c r="AT46" s="72">
        <v>41</v>
      </c>
      <c r="AU46" s="73">
        <v>29</v>
      </c>
      <c r="AV46" s="72">
        <v>41</v>
      </c>
      <c r="AW46" s="73">
        <v>18</v>
      </c>
      <c r="AX46" s="72"/>
      <c r="AY46" s="73"/>
      <c r="AZ46" s="72">
        <v>41</v>
      </c>
      <c r="BA46" s="73">
        <v>26</v>
      </c>
      <c r="BB46" s="72"/>
      <c r="BC46" s="73"/>
      <c r="BD46" s="72"/>
      <c r="BE46" s="73"/>
      <c r="BF46" s="72"/>
      <c r="BG46" s="73"/>
      <c r="BH46" s="72"/>
      <c r="BI46" s="73"/>
      <c r="BJ46" s="72"/>
      <c r="BK46" s="73"/>
      <c r="BL46" s="72"/>
      <c r="BM46" s="73"/>
      <c r="BN46" s="72"/>
      <c r="BO46" s="73"/>
      <c r="BP46" s="72"/>
      <c r="BQ46" s="73"/>
      <c r="BR46" s="72"/>
      <c r="BS46" s="73"/>
      <c r="BT46" s="72"/>
      <c r="BU46" s="73"/>
      <c r="BV46" s="72"/>
      <c r="BW46" s="73"/>
      <c r="BX46" s="72"/>
      <c r="BY46" s="73"/>
      <c r="BZ46" s="72"/>
      <c r="CA46" s="74"/>
      <c r="CB46" s="75"/>
      <c r="CC46" s="73"/>
      <c r="CD46" s="72"/>
      <c r="CE46" s="73"/>
      <c r="CF46" s="72"/>
      <c r="CG46" s="73"/>
      <c r="CH46" s="72"/>
      <c r="CI46" s="73"/>
      <c r="CJ46" s="72"/>
      <c r="CK46" s="73"/>
      <c r="CL46" s="72"/>
      <c r="CM46" s="73"/>
      <c r="CN46" s="72"/>
      <c r="CO46" s="73"/>
      <c r="CP46" s="72"/>
      <c r="CQ46" s="73"/>
      <c r="CR46" s="72"/>
      <c r="CS46" s="73"/>
      <c r="CT46" s="72"/>
      <c r="CU46" s="73"/>
      <c r="CV46" s="72"/>
      <c r="CW46" s="73"/>
      <c r="CX46" s="72"/>
      <c r="CY46" s="73"/>
      <c r="CZ46" s="72"/>
      <c r="DA46" s="73"/>
      <c r="DB46" s="72"/>
      <c r="DC46" s="73"/>
      <c r="DD46" s="72"/>
      <c r="DE46" s="73"/>
      <c r="DF46" s="72"/>
      <c r="DG46" s="73"/>
      <c r="DH46" s="72"/>
      <c r="DI46" s="73"/>
      <c r="DJ46" s="72"/>
      <c r="DK46" s="73"/>
      <c r="DL46" s="72"/>
      <c r="DM46" s="73"/>
      <c r="DN46" s="72"/>
      <c r="DO46" s="73"/>
      <c r="DP46" s="72"/>
      <c r="DQ46" s="73"/>
      <c r="DR46" s="72"/>
      <c r="DS46" s="73"/>
      <c r="DT46" s="72"/>
      <c r="DU46" s="73"/>
      <c r="DV46" s="72"/>
      <c r="DW46" s="73"/>
      <c r="DX46" s="72"/>
      <c r="DY46" s="73"/>
      <c r="DZ46" s="72"/>
      <c r="EA46" s="73"/>
      <c r="EB46" s="72"/>
      <c r="EC46" s="73"/>
    </row>
    <row r="47" spans="2:133" x14ac:dyDescent="0.2">
      <c r="B47" s="72">
        <v>42</v>
      </c>
      <c r="C47" s="73">
        <v>38</v>
      </c>
      <c r="D47" s="72"/>
      <c r="E47" s="73"/>
      <c r="F47" s="72"/>
      <c r="G47" s="73"/>
      <c r="H47" s="72"/>
      <c r="I47" s="73"/>
      <c r="J47" s="72"/>
      <c r="K47" s="73"/>
      <c r="L47" s="72"/>
      <c r="M47" s="73"/>
      <c r="N47" s="72"/>
      <c r="O47" s="73"/>
      <c r="P47" s="72"/>
      <c r="Q47" s="73"/>
      <c r="R47" s="72"/>
      <c r="S47" s="73"/>
      <c r="T47" s="72"/>
      <c r="U47" s="73"/>
      <c r="V47" s="72"/>
      <c r="W47" s="73"/>
      <c r="X47" s="72"/>
      <c r="Y47" s="73"/>
      <c r="Z47" s="72"/>
      <c r="AA47" s="73"/>
      <c r="AB47" s="72"/>
      <c r="AC47" s="73"/>
      <c r="AD47" s="72"/>
      <c r="AE47" s="73"/>
      <c r="AF47" s="72"/>
      <c r="AG47" s="73"/>
      <c r="AH47" s="72"/>
      <c r="AI47" s="73"/>
      <c r="AJ47" s="72">
        <v>42</v>
      </c>
      <c r="AK47" s="73">
        <v>17</v>
      </c>
      <c r="AL47" s="72">
        <v>42</v>
      </c>
      <c r="AM47" s="73">
        <v>11</v>
      </c>
      <c r="AN47" s="72"/>
      <c r="AO47" s="73"/>
      <c r="AP47" s="72"/>
      <c r="AQ47" s="73"/>
      <c r="AR47" s="72"/>
      <c r="AS47" s="73"/>
      <c r="AT47" s="72">
        <v>42</v>
      </c>
      <c r="AU47" s="73">
        <v>25</v>
      </c>
      <c r="AV47" s="72">
        <v>42</v>
      </c>
      <c r="AW47" s="73">
        <v>22</v>
      </c>
      <c r="AX47" s="72"/>
      <c r="AY47" s="73"/>
      <c r="AZ47" s="72">
        <v>42</v>
      </c>
      <c r="BA47" s="73">
        <v>20</v>
      </c>
      <c r="BB47" s="72"/>
      <c r="BC47" s="73"/>
      <c r="BD47" s="72"/>
      <c r="BE47" s="73"/>
      <c r="BF47" s="72"/>
      <c r="BG47" s="73"/>
      <c r="BH47" s="72"/>
      <c r="BI47" s="73"/>
      <c r="BJ47" s="72"/>
      <c r="BK47" s="73"/>
      <c r="BL47" s="72"/>
      <c r="BM47" s="73"/>
      <c r="BN47" s="72"/>
      <c r="BO47" s="73"/>
      <c r="BP47" s="72"/>
      <c r="BQ47" s="73"/>
      <c r="BR47" s="72"/>
      <c r="BS47" s="73"/>
      <c r="BT47" s="72"/>
      <c r="BU47" s="73"/>
      <c r="BV47" s="72"/>
      <c r="BW47" s="73"/>
      <c r="BX47" s="72"/>
      <c r="BY47" s="73"/>
      <c r="BZ47" s="72"/>
      <c r="CA47" s="74"/>
      <c r="CB47" s="75"/>
      <c r="CC47" s="73"/>
      <c r="CD47" s="72"/>
      <c r="CE47" s="73"/>
      <c r="CF47" s="72"/>
      <c r="CG47" s="73"/>
      <c r="CH47" s="72"/>
      <c r="CI47" s="73"/>
      <c r="CJ47" s="72"/>
      <c r="CK47" s="73"/>
      <c r="CL47" s="72"/>
      <c r="CM47" s="73"/>
      <c r="CN47" s="72"/>
      <c r="CO47" s="73"/>
      <c r="CP47" s="72"/>
      <c r="CQ47" s="73"/>
      <c r="CR47" s="72"/>
      <c r="CS47" s="73"/>
      <c r="CT47" s="72"/>
      <c r="CU47" s="73"/>
      <c r="CV47" s="72"/>
      <c r="CW47" s="73"/>
      <c r="CX47" s="72"/>
      <c r="CY47" s="73"/>
      <c r="CZ47" s="72"/>
      <c r="DA47" s="73"/>
      <c r="DB47" s="72"/>
      <c r="DC47" s="73"/>
      <c r="DD47" s="72"/>
      <c r="DE47" s="73"/>
      <c r="DF47" s="72"/>
      <c r="DG47" s="73"/>
      <c r="DH47" s="72"/>
      <c r="DI47" s="73"/>
      <c r="DJ47" s="72"/>
      <c r="DK47" s="73"/>
      <c r="DL47" s="72"/>
      <c r="DM47" s="73"/>
      <c r="DN47" s="72"/>
      <c r="DO47" s="73"/>
      <c r="DP47" s="72"/>
      <c r="DQ47" s="73"/>
      <c r="DR47" s="72"/>
      <c r="DS47" s="73"/>
      <c r="DT47" s="72"/>
      <c r="DU47" s="73"/>
      <c r="DV47" s="72"/>
      <c r="DW47" s="73"/>
      <c r="DX47" s="72"/>
      <c r="DY47" s="73"/>
      <c r="DZ47" s="72"/>
      <c r="EA47" s="73"/>
      <c r="EB47" s="72"/>
      <c r="EC47" s="73"/>
    </row>
    <row r="48" spans="2:133" x14ac:dyDescent="0.2">
      <c r="B48" s="72">
        <v>43</v>
      </c>
      <c r="C48" s="73">
        <v>34</v>
      </c>
      <c r="D48" s="72"/>
      <c r="E48" s="73"/>
      <c r="F48" s="72"/>
      <c r="G48" s="73"/>
      <c r="H48" s="72"/>
      <c r="I48" s="73"/>
      <c r="J48" s="72"/>
      <c r="K48" s="73"/>
      <c r="L48" s="72"/>
      <c r="M48" s="73"/>
      <c r="N48" s="72"/>
      <c r="O48" s="73"/>
      <c r="P48" s="72"/>
      <c r="Q48" s="73"/>
      <c r="R48" s="72"/>
      <c r="S48" s="73"/>
      <c r="T48" s="72"/>
      <c r="U48" s="73"/>
      <c r="V48" s="72"/>
      <c r="W48" s="73"/>
      <c r="X48" s="72"/>
      <c r="Y48" s="73"/>
      <c r="Z48" s="72"/>
      <c r="AA48" s="73"/>
      <c r="AB48" s="72"/>
      <c r="AC48" s="73"/>
      <c r="AD48" s="72"/>
      <c r="AE48" s="73"/>
      <c r="AF48" s="72"/>
      <c r="AG48" s="73"/>
      <c r="AH48" s="72"/>
      <c r="AI48" s="73"/>
      <c r="AJ48" s="72"/>
      <c r="AK48" s="73"/>
      <c r="AL48" s="72">
        <v>43</v>
      </c>
      <c r="AM48" s="73">
        <v>5</v>
      </c>
      <c r="AN48" s="72"/>
      <c r="AO48" s="73"/>
      <c r="AP48" s="72"/>
      <c r="AQ48" s="73"/>
      <c r="AR48" s="72"/>
      <c r="AS48" s="73"/>
      <c r="AT48" s="72">
        <v>43</v>
      </c>
      <c r="AU48" s="73">
        <v>28</v>
      </c>
      <c r="AV48" s="72">
        <v>43</v>
      </c>
      <c r="AW48" s="73">
        <v>13</v>
      </c>
      <c r="AX48" s="72"/>
      <c r="AY48" s="73"/>
      <c r="AZ48" s="72">
        <v>43</v>
      </c>
      <c r="BA48" s="73">
        <v>27</v>
      </c>
      <c r="BB48" s="72"/>
      <c r="BC48" s="73"/>
      <c r="BD48" s="72"/>
      <c r="BE48" s="73"/>
      <c r="BF48" s="72"/>
      <c r="BG48" s="73"/>
      <c r="BH48" s="72"/>
      <c r="BI48" s="73"/>
      <c r="BJ48" s="72"/>
      <c r="BK48" s="73"/>
      <c r="BL48" s="72"/>
      <c r="BM48" s="73"/>
      <c r="BN48" s="72"/>
      <c r="BO48" s="73"/>
      <c r="BP48" s="72"/>
      <c r="BQ48" s="73"/>
      <c r="BR48" s="72"/>
      <c r="BS48" s="73"/>
      <c r="BT48" s="72"/>
      <c r="BU48" s="73"/>
      <c r="BV48" s="72"/>
      <c r="BW48" s="73"/>
      <c r="BX48" s="72"/>
      <c r="BY48" s="73"/>
      <c r="BZ48" s="72"/>
      <c r="CA48" s="74"/>
      <c r="CB48" s="75"/>
      <c r="CC48" s="73"/>
      <c r="CD48" s="72"/>
      <c r="CE48" s="73"/>
      <c r="CF48" s="72"/>
      <c r="CG48" s="73"/>
      <c r="CH48" s="72"/>
      <c r="CI48" s="73"/>
      <c r="CJ48" s="72"/>
      <c r="CK48" s="73"/>
      <c r="CL48" s="72"/>
      <c r="CM48" s="73"/>
      <c r="CN48" s="72"/>
      <c r="CO48" s="73"/>
      <c r="CP48" s="72"/>
      <c r="CQ48" s="73"/>
      <c r="CR48" s="72"/>
      <c r="CS48" s="73"/>
      <c r="CT48" s="72"/>
      <c r="CU48" s="73"/>
      <c r="CV48" s="72"/>
      <c r="CW48" s="73"/>
      <c r="CX48" s="72"/>
      <c r="CY48" s="73"/>
      <c r="CZ48" s="72"/>
      <c r="DA48" s="73"/>
      <c r="DB48" s="72"/>
      <c r="DC48" s="73"/>
      <c r="DD48" s="72"/>
      <c r="DE48" s="73"/>
      <c r="DF48" s="72"/>
      <c r="DG48" s="73"/>
      <c r="DH48" s="72"/>
      <c r="DI48" s="73"/>
      <c r="DJ48" s="72"/>
      <c r="DK48" s="73"/>
      <c r="DL48" s="72"/>
      <c r="DM48" s="73"/>
      <c r="DN48" s="72"/>
      <c r="DO48" s="73"/>
      <c r="DP48" s="72"/>
      <c r="DQ48" s="73"/>
      <c r="DR48" s="72"/>
      <c r="DS48" s="73"/>
      <c r="DT48" s="72"/>
      <c r="DU48" s="73"/>
      <c r="DV48" s="72"/>
      <c r="DW48" s="73"/>
      <c r="DX48" s="72"/>
      <c r="DY48" s="73"/>
      <c r="DZ48" s="72"/>
      <c r="EA48" s="73"/>
      <c r="EB48" s="72"/>
      <c r="EC48" s="73"/>
    </row>
    <row r="49" spans="2:133" x14ac:dyDescent="0.2">
      <c r="B49" s="72">
        <v>44</v>
      </c>
      <c r="C49" s="73">
        <v>34</v>
      </c>
      <c r="D49" s="72"/>
      <c r="E49" s="73"/>
      <c r="F49" s="72"/>
      <c r="G49" s="73"/>
      <c r="H49" s="72"/>
      <c r="I49" s="73"/>
      <c r="J49" s="72"/>
      <c r="K49" s="73"/>
      <c r="L49" s="72"/>
      <c r="M49" s="73"/>
      <c r="N49" s="72"/>
      <c r="O49" s="73"/>
      <c r="P49" s="72"/>
      <c r="Q49" s="73"/>
      <c r="R49" s="72"/>
      <c r="S49" s="73"/>
      <c r="T49" s="72"/>
      <c r="U49" s="73"/>
      <c r="V49" s="72"/>
      <c r="W49" s="73"/>
      <c r="X49" s="72"/>
      <c r="Y49" s="73"/>
      <c r="Z49" s="72"/>
      <c r="AA49" s="73"/>
      <c r="AB49" s="72"/>
      <c r="AC49" s="73"/>
      <c r="AD49" s="72"/>
      <c r="AE49" s="73"/>
      <c r="AF49" s="72"/>
      <c r="AG49" s="73"/>
      <c r="AH49" s="72"/>
      <c r="AI49" s="73"/>
      <c r="AJ49" s="72"/>
      <c r="AK49" s="73"/>
      <c r="AL49" s="72">
        <v>44</v>
      </c>
      <c r="AM49" s="73">
        <v>26</v>
      </c>
      <c r="AN49" s="72"/>
      <c r="AO49" s="73"/>
      <c r="AP49" s="72"/>
      <c r="AQ49" s="73"/>
      <c r="AR49" s="72"/>
      <c r="AS49" s="73"/>
      <c r="AT49" s="72">
        <v>44</v>
      </c>
      <c r="AU49" s="73">
        <v>28</v>
      </c>
      <c r="AV49" s="72">
        <v>44</v>
      </c>
      <c r="AW49" s="73">
        <v>30</v>
      </c>
      <c r="AX49" s="72"/>
      <c r="AY49" s="73"/>
      <c r="AZ49" s="72">
        <v>44</v>
      </c>
      <c r="BA49" s="73">
        <v>31</v>
      </c>
      <c r="BB49" s="72"/>
      <c r="BC49" s="73"/>
      <c r="BD49" s="72"/>
      <c r="BE49" s="73"/>
      <c r="BF49" s="72"/>
      <c r="BG49" s="73"/>
      <c r="BH49" s="72"/>
      <c r="BI49" s="73"/>
      <c r="BJ49" s="72"/>
      <c r="BK49" s="73"/>
      <c r="BL49" s="72"/>
      <c r="BM49" s="73"/>
      <c r="BN49" s="72"/>
      <c r="BO49" s="73"/>
      <c r="BP49" s="72"/>
      <c r="BQ49" s="73"/>
      <c r="BR49" s="72"/>
      <c r="BS49" s="73"/>
      <c r="BT49" s="72"/>
      <c r="BU49" s="73"/>
      <c r="BV49" s="72"/>
      <c r="BW49" s="73"/>
      <c r="BX49" s="72"/>
      <c r="BY49" s="73"/>
      <c r="BZ49" s="72"/>
      <c r="CA49" s="74"/>
      <c r="CB49" s="75"/>
      <c r="CC49" s="73"/>
      <c r="CD49" s="72"/>
      <c r="CE49" s="73"/>
      <c r="CF49" s="72"/>
      <c r="CG49" s="73"/>
      <c r="CH49" s="72"/>
      <c r="CI49" s="73"/>
      <c r="CJ49" s="72"/>
      <c r="CK49" s="73"/>
      <c r="CL49" s="72"/>
      <c r="CM49" s="73"/>
      <c r="CN49" s="72"/>
      <c r="CO49" s="73"/>
      <c r="CP49" s="72"/>
      <c r="CQ49" s="73"/>
      <c r="CR49" s="72"/>
      <c r="CS49" s="73"/>
      <c r="CT49" s="72"/>
      <c r="CU49" s="73"/>
      <c r="CV49" s="72"/>
      <c r="CW49" s="73"/>
      <c r="CX49" s="72"/>
      <c r="CY49" s="73"/>
      <c r="CZ49" s="72"/>
      <c r="DA49" s="73"/>
      <c r="DB49" s="72"/>
      <c r="DC49" s="73"/>
      <c r="DD49" s="72"/>
      <c r="DE49" s="73"/>
      <c r="DF49" s="72"/>
      <c r="DG49" s="73"/>
      <c r="DH49" s="72"/>
      <c r="DI49" s="73"/>
      <c r="DJ49" s="72"/>
      <c r="DK49" s="73"/>
      <c r="DL49" s="72"/>
      <c r="DM49" s="73"/>
      <c r="DN49" s="72"/>
      <c r="DO49" s="73"/>
      <c r="DP49" s="72"/>
      <c r="DQ49" s="73"/>
      <c r="DR49" s="72"/>
      <c r="DS49" s="73"/>
      <c r="DT49" s="72"/>
      <c r="DU49" s="73"/>
      <c r="DV49" s="72"/>
      <c r="DW49" s="73"/>
      <c r="DX49" s="72"/>
      <c r="DY49" s="73"/>
      <c r="DZ49" s="72"/>
      <c r="EA49" s="73"/>
      <c r="EB49" s="72"/>
      <c r="EC49" s="73"/>
    </row>
    <row r="50" spans="2:133" x14ac:dyDescent="0.2">
      <c r="B50" s="72">
        <v>45</v>
      </c>
      <c r="C50" s="73">
        <v>28</v>
      </c>
      <c r="D50" s="72"/>
      <c r="E50" s="73"/>
      <c r="F50" s="72"/>
      <c r="G50" s="73"/>
      <c r="H50" s="72"/>
      <c r="I50" s="73"/>
      <c r="J50" s="72"/>
      <c r="K50" s="73"/>
      <c r="L50" s="72"/>
      <c r="M50" s="73"/>
      <c r="N50" s="72"/>
      <c r="O50" s="73"/>
      <c r="P50" s="72"/>
      <c r="Q50" s="73"/>
      <c r="R50" s="72"/>
      <c r="S50" s="73"/>
      <c r="T50" s="72"/>
      <c r="U50" s="73"/>
      <c r="V50" s="72"/>
      <c r="W50" s="73"/>
      <c r="X50" s="72"/>
      <c r="Y50" s="73"/>
      <c r="Z50" s="72"/>
      <c r="AA50" s="73"/>
      <c r="AB50" s="72"/>
      <c r="AC50" s="73"/>
      <c r="AD50" s="72"/>
      <c r="AE50" s="73"/>
      <c r="AF50" s="72"/>
      <c r="AG50" s="73"/>
      <c r="AH50" s="72"/>
      <c r="AI50" s="73"/>
      <c r="AJ50" s="72"/>
      <c r="AK50" s="73"/>
      <c r="AL50" s="72">
        <v>45</v>
      </c>
      <c r="AM50" s="73">
        <v>17</v>
      </c>
      <c r="AN50" s="72"/>
      <c r="AO50" s="73"/>
      <c r="AP50" s="72"/>
      <c r="AQ50" s="73"/>
      <c r="AR50" s="72"/>
      <c r="AS50" s="73"/>
      <c r="AT50" s="72">
        <v>45</v>
      </c>
      <c r="AU50" s="73">
        <v>25</v>
      </c>
      <c r="AV50" s="72">
        <v>45</v>
      </c>
      <c r="AW50" s="73">
        <v>5</v>
      </c>
      <c r="AX50" s="72"/>
      <c r="AY50" s="73"/>
      <c r="AZ50" s="72">
        <v>45</v>
      </c>
      <c r="BA50" s="73">
        <v>25</v>
      </c>
      <c r="BB50" s="72"/>
      <c r="BC50" s="73"/>
      <c r="BD50" s="72"/>
      <c r="BE50" s="73"/>
      <c r="BF50" s="72"/>
      <c r="BG50" s="73"/>
      <c r="BH50" s="72"/>
      <c r="BI50" s="73"/>
      <c r="BJ50" s="72"/>
      <c r="BK50" s="73"/>
      <c r="BL50" s="72"/>
      <c r="BM50" s="73"/>
      <c r="BN50" s="72"/>
      <c r="BO50" s="73"/>
      <c r="BP50" s="72"/>
      <c r="BQ50" s="73"/>
      <c r="BR50" s="72"/>
      <c r="BS50" s="73"/>
      <c r="BT50" s="72"/>
      <c r="BU50" s="73"/>
      <c r="BV50" s="72"/>
      <c r="BW50" s="73"/>
      <c r="BX50" s="72"/>
      <c r="BY50" s="73"/>
      <c r="BZ50" s="72"/>
      <c r="CA50" s="74"/>
      <c r="CB50" s="75"/>
      <c r="CC50" s="73"/>
      <c r="CD50" s="72"/>
      <c r="CE50" s="73"/>
      <c r="CF50" s="72"/>
      <c r="CG50" s="73"/>
      <c r="CH50" s="72"/>
      <c r="CI50" s="73"/>
      <c r="CJ50" s="72"/>
      <c r="CK50" s="73"/>
      <c r="CL50" s="72"/>
      <c r="CM50" s="73"/>
      <c r="CN50" s="72"/>
      <c r="CO50" s="73"/>
      <c r="CP50" s="72"/>
      <c r="CQ50" s="73"/>
      <c r="CR50" s="72"/>
      <c r="CS50" s="73"/>
      <c r="CT50" s="72"/>
      <c r="CU50" s="73"/>
      <c r="CV50" s="72"/>
      <c r="CW50" s="73"/>
      <c r="CX50" s="72"/>
      <c r="CY50" s="73"/>
      <c r="CZ50" s="72"/>
      <c r="DA50" s="73"/>
      <c r="DB50" s="72"/>
      <c r="DC50" s="73"/>
      <c r="DD50" s="72"/>
      <c r="DE50" s="73"/>
      <c r="DF50" s="72"/>
      <c r="DG50" s="73"/>
      <c r="DH50" s="72"/>
      <c r="DI50" s="73"/>
      <c r="DJ50" s="72"/>
      <c r="DK50" s="73"/>
      <c r="DL50" s="72"/>
      <c r="DM50" s="73"/>
      <c r="DN50" s="72"/>
      <c r="DO50" s="73"/>
      <c r="DP50" s="72"/>
      <c r="DQ50" s="73"/>
      <c r="DR50" s="72"/>
      <c r="DS50" s="73"/>
      <c r="DT50" s="72"/>
      <c r="DU50" s="73"/>
      <c r="DV50" s="72"/>
      <c r="DW50" s="73"/>
      <c r="DX50" s="72"/>
      <c r="DY50" s="73"/>
      <c r="DZ50" s="72"/>
      <c r="EA50" s="73"/>
      <c r="EB50" s="72"/>
      <c r="EC50" s="73"/>
    </row>
    <row r="51" spans="2:133" x14ac:dyDescent="0.2">
      <c r="B51" s="72">
        <v>46</v>
      </c>
      <c r="C51" s="73">
        <v>34</v>
      </c>
      <c r="D51" s="72"/>
      <c r="E51" s="73"/>
      <c r="F51" s="72"/>
      <c r="G51" s="73"/>
      <c r="H51" s="72"/>
      <c r="I51" s="73"/>
      <c r="J51" s="72"/>
      <c r="K51" s="73"/>
      <c r="L51" s="72"/>
      <c r="M51" s="73"/>
      <c r="N51" s="72"/>
      <c r="O51" s="73"/>
      <c r="P51" s="72"/>
      <c r="Q51" s="73"/>
      <c r="R51" s="72"/>
      <c r="S51" s="73"/>
      <c r="T51" s="72"/>
      <c r="U51" s="73"/>
      <c r="V51" s="72"/>
      <c r="W51" s="73"/>
      <c r="X51" s="72"/>
      <c r="Y51" s="73"/>
      <c r="Z51" s="72"/>
      <c r="AA51" s="73"/>
      <c r="AB51" s="72"/>
      <c r="AC51" s="73"/>
      <c r="AD51" s="72"/>
      <c r="AE51" s="73"/>
      <c r="AF51" s="72"/>
      <c r="AG51" s="73"/>
      <c r="AH51" s="72"/>
      <c r="AI51" s="73"/>
      <c r="AJ51" s="72"/>
      <c r="AK51" s="73"/>
      <c r="AL51" s="72">
        <v>46</v>
      </c>
      <c r="AM51" s="73">
        <v>11</v>
      </c>
      <c r="AN51" s="72"/>
      <c r="AO51" s="73"/>
      <c r="AP51" s="72"/>
      <c r="AQ51" s="73"/>
      <c r="AR51" s="72"/>
      <c r="AS51" s="73"/>
      <c r="AT51" s="72">
        <v>46</v>
      </c>
      <c r="AU51" s="73">
        <v>13</v>
      </c>
      <c r="AV51" s="72">
        <v>46</v>
      </c>
      <c r="AW51" s="73">
        <v>28</v>
      </c>
      <c r="AX51" s="72"/>
      <c r="AY51" s="73"/>
      <c r="AZ51" s="72">
        <v>46</v>
      </c>
      <c r="BA51" s="73">
        <v>24</v>
      </c>
      <c r="BB51" s="72"/>
      <c r="BC51" s="73"/>
      <c r="BD51" s="72"/>
      <c r="BE51" s="73"/>
      <c r="BF51" s="72"/>
      <c r="BG51" s="73"/>
      <c r="BH51" s="72"/>
      <c r="BI51" s="73"/>
      <c r="BJ51" s="72"/>
      <c r="BK51" s="73"/>
      <c r="BL51" s="72"/>
      <c r="BM51" s="73"/>
      <c r="BN51" s="72"/>
      <c r="BO51" s="73"/>
      <c r="BP51" s="72"/>
      <c r="BQ51" s="73"/>
      <c r="BR51" s="72"/>
      <c r="BS51" s="73"/>
      <c r="BT51" s="72"/>
      <c r="BU51" s="73"/>
      <c r="BV51" s="72"/>
      <c r="BW51" s="73"/>
      <c r="BX51" s="72"/>
      <c r="BY51" s="73"/>
      <c r="BZ51" s="72"/>
      <c r="CA51" s="74"/>
      <c r="CB51" s="75"/>
      <c r="CC51" s="73"/>
      <c r="CD51" s="72"/>
      <c r="CE51" s="73"/>
      <c r="CF51" s="72"/>
      <c r="CG51" s="73"/>
      <c r="CH51" s="72"/>
      <c r="CI51" s="73"/>
      <c r="CJ51" s="72"/>
      <c r="CK51" s="73"/>
      <c r="CL51" s="72"/>
      <c r="CM51" s="73"/>
      <c r="CN51" s="72"/>
      <c r="CO51" s="73"/>
      <c r="CP51" s="72"/>
      <c r="CQ51" s="73"/>
      <c r="CR51" s="72"/>
      <c r="CS51" s="73"/>
      <c r="CT51" s="72"/>
      <c r="CU51" s="73"/>
      <c r="CV51" s="72"/>
      <c r="CW51" s="73"/>
      <c r="CX51" s="72"/>
      <c r="CY51" s="73"/>
      <c r="CZ51" s="72"/>
      <c r="DA51" s="73"/>
      <c r="DB51" s="72"/>
      <c r="DC51" s="73"/>
      <c r="DD51" s="72"/>
      <c r="DE51" s="73"/>
      <c r="DF51" s="72"/>
      <c r="DG51" s="73"/>
      <c r="DH51" s="72"/>
      <c r="DI51" s="73"/>
      <c r="DJ51" s="72"/>
      <c r="DK51" s="73"/>
      <c r="DL51" s="72"/>
      <c r="DM51" s="73"/>
      <c r="DN51" s="72"/>
      <c r="DO51" s="73"/>
      <c r="DP51" s="72"/>
      <c r="DQ51" s="73"/>
      <c r="DR51" s="72"/>
      <c r="DS51" s="73"/>
      <c r="DT51" s="72"/>
      <c r="DU51" s="73"/>
      <c r="DV51" s="72"/>
      <c r="DW51" s="73"/>
      <c r="DX51" s="72"/>
      <c r="DY51" s="73"/>
      <c r="DZ51" s="72"/>
      <c r="EA51" s="73"/>
      <c r="EB51" s="72"/>
      <c r="EC51" s="73"/>
    </row>
    <row r="52" spans="2:133" x14ac:dyDescent="0.2">
      <c r="B52" s="72">
        <v>47</v>
      </c>
      <c r="C52" s="73">
        <v>31</v>
      </c>
      <c r="D52" s="72"/>
      <c r="E52" s="73"/>
      <c r="F52" s="72"/>
      <c r="G52" s="73"/>
      <c r="H52" s="72"/>
      <c r="I52" s="73"/>
      <c r="J52" s="72"/>
      <c r="K52" s="73"/>
      <c r="L52" s="72"/>
      <c r="M52" s="73"/>
      <c r="N52" s="72"/>
      <c r="O52" s="73"/>
      <c r="P52" s="72"/>
      <c r="Q52" s="73"/>
      <c r="R52" s="72"/>
      <c r="S52" s="73"/>
      <c r="T52" s="72"/>
      <c r="U52" s="73"/>
      <c r="V52" s="72"/>
      <c r="W52" s="73"/>
      <c r="X52" s="72"/>
      <c r="Y52" s="73"/>
      <c r="Z52" s="72"/>
      <c r="AA52" s="73"/>
      <c r="AB52" s="72"/>
      <c r="AC52" s="73"/>
      <c r="AD52" s="72"/>
      <c r="AE52" s="73"/>
      <c r="AF52" s="72"/>
      <c r="AG52" s="73"/>
      <c r="AH52" s="72"/>
      <c r="AI52" s="73"/>
      <c r="AJ52" s="72"/>
      <c r="AK52" s="73"/>
      <c r="AL52" s="72">
        <v>47</v>
      </c>
      <c r="AM52" s="73">
        <v>9</v>
      </c>
      <c r="AN52" s="72"/>
      <c r="AO52" s="73"/>
      <c r="AP52" s="72"/>
      <c r="AQ52" s="73"/>
      <c r="AR52" s="72"/>
      <c r="AS52" s="73"/>
      <c r="AT52" s="72">
        <v>47</v>
      </c>
      <c r="AU52" s="73">
        <v>15</v>
      </c>
      <c r="AV52" s="72">
        <v>47</v>
      </c>
      <c r="AW52" s="73">
        <v>7</v>
      </c>
      <c r="AX52" s="72"/>
      <c r="AY52" s="73"/>
      <c r="AZ52" s="72">
        <v>47</v>
      </c>
      <c r="BA52" s="73">
        <v>23</v>
      </c>
      <c r="BB52" s="72"/>
      <c r="BC52" s="73"/>
      <c r="BD52" s="72"/>
      <c r="BE52" s="73"/>
      <c r="BF52" s="72"/>
      <c r="BG52" s="73"/>
      <c r="BH52" s="72"/>
      <c r="BI52" s="73"/>
      <c r="BJ52" s="72"/>
      <c r="BK52" s="73"/>
      <c r="BL52" s="72"/>
      <c r="BM52" s="73"/>
      <c r="BN52" s="72"/>
      <c r="BO52" s="73"/>
      <c r="BP52" s="72"/>
      <c r="BQ52" s="73"/>
      <c r="BR52" s="72"/>
      <c r="BS52" s="73"/>
      <c r="BT52" s="72"/>
      <c r="BU52" s="73"/>
      <c r="BV52" s="72"/>
      <c r="BW52" s="73"/>
      <c r="BX52" s="72"/>
      <c r="BY52" s="73"/>
      <c r="BZ52" s="72"/>
      <c r="CA52" s="74"/>
      <c r="CB52" s="75"/>
      <c r="CC52" s="73"/>
      <c r="CD52" s="72"/>
      <c r="CE52" s="73"/>
      <c r="CF52" s="72"/>
      <c r="CG52" s="73"/>
      <c r="CH52" s="72"/>
      <c r="CI52" s="73"/>
      <c r="CJ52" s="72"/>
      <c r="CK52" s="73"/>
      <c r="CL52" s="72"/>
      <c r="CM52" s="73"/>
      <c r="CN52" s="72"/>
      <c r="CO52" s="73"/>
      <c r="CP52" s="72"/>
      <c r="CQ52" s="73"/>
      <c r="CR52" s="72"/>
      <c r="CS52" s="73"/>
      <c r="CT52" s="72"/>
      <c r="CU52" s="73"/>
      <c r="CV52" s="72"/>
      <c r="CW52" s="73"/>
      <c r="CX52" s="72"/>
      <c r="CY52" s="73"/>
      <c r="CZ52" s="72"/>
      <c r="DA52" s="73"/>
      <c r="DB52" s="72"/>
      <c r="DC52" s="73"/>
      <c r="DD52" s="72"/>
      <c r="DE52" s="73"/>
      <c r="DF52" s="72"/>
      <c r="DG52" s="73"/>
      <c r="DH52" s="72"/>
      <c r="DI52" s="73"/>
      <c r="DJ52" s="72"/>
      <c r="DK52" s="73"/>
      <c r="DL52" s="72"/>
      <c r="DM52" s="73"/>
      <c r="DN52" s="72"/>
      <c r="DO52" s="73"/>
      <c r="DP52" s="72"/>
      <c r="DQ52" s="73"/>
      <c r="DR52" s="72"/>
      <c r="DS52" s="73"/>
      <c r="DT52" s="72"/>
      <c r="DU52" s="73"/>
      <c r="DV52" s="72"/>
      <c r="DW52" s="73"/>
      <c r="DX52" s="72"/>
      <c r="DY52" s="73"/>
      <c r="DZ52" s="72"/>
      <c r="EA52" s="73"/>
      <c r="EB52" s="72"/>
      <c r="EC52" s="73"/>
    </row>
    <row r="53" spans="2:133" x14ac:dyDescent="0.2">
      <c r="B53" s="72">
        <v>48</v>
      </c>
      <c r="C53" s="73">
        <v>22</v>
      </c>
      <c r="D53" s="72"/>
      <c r="E53" s="73"/>
      <c r="F53" s="72"/>
      <c r="G53" s="73"/>
      <c r="H53" s="72"/>
      <c r="I53" s="73"/>
      <c r="J53" s="72"/>
      <c r="K53" s="73"/>
      <c r="L53" s="72"/>
      <c r="M53" s="73"/>
      <c r="N53" s="72"/>
      <c r="O53" s="73"/>
      <c r="P53" s="72"/>
      <c r="Q53" s="73"/>
      <c r="R53" s="72"/>
      <c r="S53" s="73"/>
      <c r="T53" s="72"/>
      <c r="U53" s="73"/>
      <c r="V53" s="72"/>
      <c r="W53" s="73"/>
      <c r="X53" s="72"/>
      <c r="Y53" s="73"/>
      <c r="Z53" s="72"/>
      <c r="AA53" s="73"/>
      <c r="AB53" s="72"/>
      <c r="AC53" s="73"/>
      <c r="AD53" s="72"/>
      <c r="AE53" s="73"/>
      <c r="AF53" s="72"/>
      <c r="AG53" s="73"/>
      <c r="AH53" s="72"/>
      <c r="AI53" s="73"/>
      <c r="AJ53" s="72"/>
      <c r="AK53" s="73"/>
      <c r="AL53" s="72">
        <v>48</v>
      </c>
      <c r="AM53" s="73">
        <v>14</v>
      </c>
      <c r="AN53" s="72"/>
      <c r="AO53" s="73"/>
      <c r="AP53" s="72"/>
      <c r="AQ53" s="73"/>
      <c r="AR53" s="72"/>
      <c r="AS53" s="73"/>
      <c r="AT53" s="72">
        <v>48</v>
      </c>
      <c r="AU53" s="73">
        <v>22</v>
      </c>
      <c r="AV53" s="72">
        <v>48</v>
      </c>
      <c r="AW53" s="73">
        <v>47</v>
      </c>
      <c r="AX53" s="72"/>
      <c r="AY53" s="73"/>
      <c r="AZ53" s="72">
        <v>48</v>
      </c>
      <c r="BA53" s="73">
        <v>35</v>
      </c>
      <c r="BB53" s="72"/>
      <c r="BC53" s="73"/>
      <c r="BD53" s="72"/>
      <c r="BE53" s="73"/>
      <c r="BF53" s="72"/>
      <c r="BG53" s="73"/>
      <c r="BH53" s="72"/>
      <c r="BI53" s="73"/>
      <c r="BJ53" s="72"/>
      <c r="BK53" s="73"/>
      <c r="BL53" s="72"/>
      <c r="BM53" s="73"/>
      <c r="BN53" s="72"/>
      <c r="BO53" s="73"/>
      <c r="BP53" s="72"/>
      <c r="BQ53" s="73"/>
      <c r="BR53" s="72"/>
      <c r="BS53" s="73"/>
      <c r="BT53" s="72"/>
      <c r="BU53" s="73"/>
      <c r="BV53" s="72"/>
      <c r="BW53" s="73"/>
      <c r="BX53" s="72"/>
      <c r="BY53" s="73"/>
      <c r="BZ53" s="72"/>
      <c r="CA53" s="74"/>
      <c r="CB53" s="75"/>
      <c r="CC53" s="73"/>
      <c r="CD53" s="72"/>
      <c r="CE53" s="73"/>
      <c r="CF53" s="72"/>
      <c r="CG53" s="73"/>
      <c r="CH53" s="72"/>
      <c r="CI53" s="73"/>
      <c r="CJ53" s="72"/>
      <c r="CK53" s="73"/>
      <c r="CL53" s="72"/>
      <c r="CM53" s="73"/>
      <c r="CN53" s="72"/>
      <c r="CO53" s="73"/>
      <c r="CP53" s="72"/>
      <c r="CQ53" s="73"/>
      <c r="CR53" s="72"/>
      <c r="CS53" s="73"/>
      <c r="CT53" s="72"/>
      <c r="CU53" s="73"/>
      <c r="CV53" s="72"/>
      <c r="CW53" s="73"/>
      <c r="CX53" s="72"/>
      <c r="CY53" s="73"/>
      <c r="CZ53" s="72"/>
      <c r="DA53" s="73"/>
      <c r="DB53" s="72"/>
      <c r="DC53" s="73"/>
      <c r="DD53" s="72"/>
      <c r="DE53" s="73"/>
      <c r="DF53" s="72"/>
      <c r="DG53" s="73"/>
      <c r="DH53" s="72"/>
      <c r="DI53" s="73"/>
      <c r="DJ53" s="72"/>
      <c r="DK53" s="73"/>
      <c r="DL53" s="72"/>
      <c r="DM53" s="73"/>
      <c r="DN53" s="72"/>
      <c r="DO53" s="73"/>
      <c r="DP53" s="72"/>
      <c r="DQ53" s="73"/>
      <c r="DR53" s="72"/>
      <c r="DS53" s="73"/>
      <c r="DT53" s="72"/>
      <c r="DU53" s="73"/>
      <c r="DV53" s="72"/>
      <c r="DW53" s="73"/>
      <c r="DX53" s="72"/>
      <c r="DY53" s="73"/>
      <c r="DZ53" s="72"/>
      <c r="EA53" s="73"/>
      <c r="EB53" s="72"/>
      <c r="EC53" s="73"/>
    </row>
    <row r="54" spans="2:133" x14ac:dyDescent="0.2">
      <c r="B54" s="72">
        <v>49</v>
      </c>
      <c r="C54" s="73">
        <v>33</v>
      </c>
      <c r="D54" s="72"/>
      <c r="E54" s="73"/>
      <c r="F54" s="72"/>
      <c r="G54" s="73"/>
      <c r="H54" s="72"/>
      <c r="I54" s="73"/>
      <c r="J54" s="72"/>
      <c r="K54" s="73"/>
      <c r="L54" s="72"/>
      <c r="M54" s="73"/>
      <c r="N54" s="72"/>
      <c r="O54" s="73"/>
      <c r="P54" s="72"/>
      <c r="Q54" s="73"/>
      <c r="R54" s="72"/>
      <c r="S54" s="73"/>
      <c r="T54" s="72"/>
      <c r="U54" s="73"/>
      <c r="V54" s="72"/>
      <c r="W54" s="73"/>
      <c r="X54" s="72"/>
      <c r="Y54" s="73"/>
      <c r="Z54" s="72"/>
      <c r="AA54" s="73"/>
      <c r="AB54" s="72"/>
      <c r="AC54" s="73"/>
      <c r="AD54" s="72"/>
      <c r="AE54" s="73"/>
      <c r="AF54" s="72"/>
      <c r="AG54" s="73"/>
      <c r="AH54" s="72"/>
      <c r="AI54" s="73"/>
      <c r="AJ54" s="72"/>
      <c r="AK54" s="73"/>
      <c r="AL54" s="72">
        <v>49</v>
      </c>
      <c r="AM54" s="73">
        <v>20</v>
      </c>
      <c r="AN54" s="72"/>
      <c r="AO54" s="73"/>
      <c r="AP54" s="72"/>
      <c r="AQ54" s="73"/>
      <c r="AR54" s="72"/>
      <c r="AS54" s="73"/>
      <c r="AT54" s="72">
        <v>49</v>
      </c>
      <c r="AU54" s="73">
        <v>26</v>
      </c>
      <c r="AV54" s="72">
        <v>49</v>
      </c>
      <c r="AW54" s="73">
        <v>39</v>
      </c>
      <c r="AX54" s="72"/>
      <c r="AY54" s="73"/>
      <c r="AZ54" s="72"/>
      <c r="BA54" s="73"/>
      <c r="BB54" s="72"/>
      <c r="BC54" s="73"/>
      <c r="BD54" s="72"/>
      <c r="BE54" s="73"/>
      <c r="BF54" s="72"/>
      <c r="BG54" s="73"/>
      <c r="BH54" s="72"/>
      <c r="BI54" s="73"/>
      <c r="BJ54" s="72"/>
      <c r="BK54" s="73"/>
      <c r="BL54" s="72"/>
      <c r="BM54" s="73"/>
      <c r="BN54" s="72"/>
      <c r="BO54" s="73"/>
      <c r="BP54" s="72"/>
      <c r="BQ54" s="73"/>
      <c r="BR54" s="72"/>
      <c r="BS54" s="73"/>
      <c r="BT54" s="72"/>
      <c r="BU54" s="73"/>
      <c r="BV54" s="72"/>
      <c r="BW54" s="73"/>
      <c r="BX54" s="72"/>
      <c r="BY54" s="73"/>
      <c r="BZ54" s="72"/>
      <c r="CA54" s="74"/>
      <c r="CB54" s="75"/>
      <c r="CC54" s="73"/>
      <c r="CD54" s="72"/>
      <c r="CE54" s="73"/>
      <c r="CF54" s="72"/>
      <c r="CG54" s="73"/>
      <c r="CH54" s="72"/>
      <c r="CI54" s="73"/>
      <c r="CJ54" s="72"/>
      <c r="CK54" s="73"/>
      <c r="CL54" s="72"/>
      <c r="CM54" s="73"/>
      <c r="CN54" s="72"/>
      <c r="CO54" s="73"/>
      <c r="CP54" s="72"/>
      <c r="CQ54" s="73"/>
      <c r="CR54" s="72"/>
      <c r="CS54" s="73"/>
      <c r="CT54" s="72"/>
      <c r="CU54" s="73"/>
      <c r="CV54" s="72"/>
      <c r="CW54" s="73"/>
      <c r="CX54" s="72"/>
      <c r="CY54" s="73"/>
      <c r="CZ54" s="72"/>
      <c r="DA54" s="73"/>
      <c r="DB54" s="72"/>
      <c r="DC54" s="73"/>
      <c r="DD54" s="72"/>
      <c r="DE54" s="73"/>
      <c r="DF54" s="72"/>
      <c r="DG54" s="73"/>
      <c r="DH54" s="72"/>
      <c r="DI54" s="73"/>
      <c r="DJ54" s="72"/>
      <c r="DK54" s="73"/>
      <c r="DL54" s="72"/>
      <c r="DM54" s="73"/>
      <c r="DN54" s="72"/>
      <c r="DO54" s="73"/>
      <c r="DP54" s="72"/>
      <c r="DQ54" s="73"/>
      <c r="DR54" s="72"/>
      <c r="DS54" s="73"/>
      <c r="DT54" s="72"/>
      <c r="DU54" s="73"/>
      <c r="DV54" s="72"/>
      <c r="DW54" s="73"/>
      <c r="DX54" s="72"/>
      <c r="DY54" s="73"/>
      <c r="DZ54" s="72"/>
      <c r="EA54" s="73"/>
      <c r="EB54" s="72"/>
      <c r="EC54" s="73"/>
    </row>
    <row r="55" spans="2:133" x14ac:dyDescent="0.2">
      <c r="B55" s="72">
        <v>50</v>
      </c>
      <c r="C55" s="73">
        <v>26</v>
      </c>
      <c r="D55" s="72"/>
      <c r="E55" s="73"/>
      <c r="F55" s="72"/>
      <c r="G55" s="73"/>
      <c r="H55" s="72"/>
      <c r="I55" s="73"/>
      <c r="J55" s="72"/>
      <c r="K55" s="73"/>
      <c r="L55" s="72"/>
      <c r="M55" s="73"/>
      <c r="N55" s="72"/>
      <c r="O55" s="73"/>
      <c r="P55" s="72"/>
      <c r="Q55" s="73"/>
      <c r="R55" s="72"/>
      <c r="S55" s="73"/>
      <c r="T55" s="72"/>
      <c r="U55" s="73"/>
      <c r="V55" s="72"/>
      <c r="W55" s="73"/>
      <c r="X55" s="72"/>
      <c r="Y55" s="73"/>
      <c r="Z55" s="72"/>
      <c r="AA55" s="73"/>
      <c r="AB55" s="72"/>
      <c r="AC55" s="73"/>
      <c r="AD55" s="72"/>
      <c r="AE55" s="73"/>
      <c r="AF55" s="72"/>
      <c r="AG55" s="73"/>
      <c r="AH55" s="72"/>
      <c r="AI55" s="73"/>
      <c r="AJ55" s="72"/>
      <c r="AK55" s="73"/>
      <c r="AL55" s="72">
        <v>50</v>
      </c>
      <c r="AM55" s="73">
        <v>23</v>
      </c>
      <c r="AN55" s="72"/>
      <c r="AO55" s="73"/>
      <c r="AP55" s="72"/>
      <c r="AQ55" s="73"/>
      <c r="AR55" s="72"/>
      <c r="AS55" s="73"/>
      <c r="AT55" s="72">
        <v>50</v>
      </c>
      <c r="AU55" s="73">
        <v>11</v>
      </c>
      <c r="AV55" s="72">
        <v>50</v>
      </c>
      <c r="AW55" s="73">
        <v>46</v>
      </c>
      <c r="AX55" s="72"/>
      <c r="AY55" s="73"/>
      <c r="AZ55" s="72"/>
      <c r="BA55" s="73"/>
      <c r="BB55" s="72"/>
      <c r="BC55" s="73"/>
      <c r="BD55" s="72"/>
      <c r="BE55" s="73"/>
      <c r="BF55" s="72"/>
      <c r="BG55" s="73"/>
      <c r="BH55" s="72"/>
      <c r="BI55" s="73"/>
      <c r="BJ55" s="72"/>
      <c r="BK55" s="73"/>
      <c r="BL55" s="72"/>
      <c r="BM55" s="73"/>
      <c r="BN55" s="72"/>
      <c r="BO55" s="73"/>
      <c r="BP55" s="72"/>
      <c r="BQ55" s="73"/>
      <c r="BR55" s="72"/>
      <c r="BS55" s="73"/>
      <c r="BT55" s="72"/>
      <c r="BU55" s="73"/>
      <c r="BV55" s="72"/>
      <c r="BW55" s="73"/>
      <c r="BX55" s="72"/>
      <c r="BY55" s="73"/>
      <c r="BZ55" s="72"/>
      <c r="CA55" s="74"/>
      <c r="CB55" s="75"/>
      <c r="CC55" s="73"/>
      <c r="CD55" s="72"/>
      <c r="CE55" s="73"/>
      <c r="CF55" s="72"/>
      <c r="CG55" s="73"/>
      <c r="CH55" s="72"/>
      <c r="CI55" s="73"/>
      <c r="CJ55" s="72"/>
      <c r="CK55" s="73"/>
      <c r="CL55" s="72"/>
      <c r="CM55" s="73"/>
      <c r="CN55" s="72"/>
      <c r="CO55" s="73"/>
      <c r="CP55" s="72"/>
      <c r="CQ55" s="73"/>
      <c r="CR55" s="72"/>
      <c r="CS55" s="73"/>
      <c r="CT55" s="72"/>
      <c r="CU55" s="73"/>
      <c r="CV55" s="72"/>
      <c r="CW55" s="73"/>
      <c r="CX55" s="72"/>
      <c r="CY55" s="73"/>
      <c r="CZ55" s="72"/>
      <c r="DA55" s="73"/>
      <c r="DB55" s="72"/>
      <c r="DC55" s="73"/>
      <c r="DD55" s="72"/>
      <c r="DE55" s="73"/>
      <c r="DF55" s="72"/>
      <c r="DG55" s="73"/>
      <c r="DH55" s="72"/>
      <c r="DI55" s="73"/>
      <c r="DJ55" s="72"/>
      <c r="DK55" s="73"/>
      <c r="DL55" s="72"/>
      <c r="DM55" s="73"/>
      <c r="DN55" s="72"/>
      <c r="DO55" s="73"/>
      <c r="DP55" s="72"/>
      <c r="DQ55" s="73"/>
      <c r="DR55" s="72"/>
      <c r="DS55" s="73"/>
      <c r="DT55" s="72"/>
      <c r="DU55" s="73"/>
      <c r="DV55" s="72"/>
      <c r="DW55" s="73"/>
      <c r="DX55" s="72"/>
      <c r="DY55" s="73"/>
      <c r="DZ55" s="72"/>
      <c r="EA55" s="73"/>
      <c r="EB55" s="72"/>
      <c r="EC55" s="73"/>
    </row>
    <row r="56" spans="2:133" x14ac:dyDescent="0.2">
      <c r="B56" s="72"/>
      <c r="C56" s="73"/>
      <c r="D56" s="72"/>
      <c r="E56" s="73"/>
      <c r="F56" s="72"/>
      <c r="G56" s="73"/>
      <c r="H56" s="72"/>
      <c r="I56" s="73"/>
      <c r="J56" s="72"/>
      <c r="K56" s="73"/>
      <c r="L56" s="72"/>
      <c r="M56" s="73"/>
      <c r="N56" s="72"/>
      <c r="O56" s="73"/>
      <c r="P56" s="72"/>
      <c r="Q56" s="73"/>
      <c r="R56" s="72"/>
      <c r="S56" s="73"/>
      <c r="T56" s="72"/>
      <c r="U56" s="73"/>
      <c r="V56" s="72"/>
      <c r="W56" s="73"/>
      <c r="X56" s="72"/>
      <c r="Y56" s="73"/>
      <c r="Z56" s="72"/>
      <c r="AA56" s="73"/>
      <c r="AB56" s="72"/>
      <c r="AC56" s="73"/>
      <c r="AD56" s="72"/>
      <c r="AE56" s="73"/>
      <c r="AF56" s="72"/>
      <c r="AG56" s="73"/>
      <c r="AH56" s="72"/>
      <c r="AI56" s="73"/>
      <c r="AJ56" s="72"/>
      <c r="AK56" s="73"/>
      <c r="AL56" s="72">
        <v>51</v>
      </c>
      <c r="AM56" s="73">
        <v>19</v>
      </c>
      <c r="AN56" s="72"/>
      <c r="AO56" s="73"/>
      <c r="AP56" s="72"/>
      <c r="AQ56" s="73"/>
      <c r="AR56" s="72"/>
      <c r="AS56" s="73"/>
      <c r="AT56" s="72">
        <v>51</v>
      </c>
      <c r="AU56" s="73">
        <v>23</v>
      </c>
      <c r="AV56" s="72">
        <v>51</v>
      </c>
      <c r="AW56" s="73">
        <v>64</v>
      </c>
      <c r="AX56" s="72"/>
      <c r="AY56" s="73"/>
      <c r="AZ56" s="72"/>
      <c r="BA56" s="73"/>
      <c r="BB56" s="72"/>
      <c r="BC56" s="73"/>
      <c r="BD56" s="72"/>
      <c r="BE56" s="73"/>
      <c r="BF56" s="72"/>
      <c r="BG56" s="73"/>
      <c r="BH56" s="72"/>
      <c r="BI56" s="73"/>
      <c r="BJ56" s="72"/>
      <c r="BK56" s="73"/>
      <c r="BL56" s="72"/>
      <c r="BM56" s="73"/>
      <c r="BN56" s="72"/>
      <c r="BO56" s="73"/>
      <c r="BP56" s="72"/>
      <c r="BQ56" s="73"/>
      <c r="BR56" s="72"/>
      <c r="BS56" s="73"/>
      <c r="BT56" s="72"/>
      <c r="BU56" s="73"/>
      <c r="BV56" s="72"/>
      <c r="BW56" s="73"/>
      <c r="BX56" s="72"/>
      <c r="BY56" s="73"/>
      <c r="BZ56" s="72"/>
      <c r="CA56" s="74"/>
      <c r="CB56" s="75"/>
      <c r="CC56" s="73"/>
      <c r="CD56" s="72"/>
      <c r="CE56" s="73"/>
      <c r="CF56" s="72"/>
      <c r="CG56" s="73"/>
      <c r="CH56" s="72"/>
      <c r="CI56" s="73"/>
      <c r="CJ56" s="72"/>
      <c r="CK56" s="73"/>
      <c r="CL56" s="72"/>
      <c r="CM56" s="73"/>
      <c r="CN56" s="72"/>
      <c r="CO56" s="73"/>
      <c r="CP56" s="72"/>
      <c r="CQ56" s="73"/>
      <c r="CR56" s="72"/>
      <c r="CS56" s="73"/>
      <c r="CT56" s="72"/>
      <c r="CU56" s="73"/>
      <c r="CV56" s="72"/>
      <c r="CW56" s="73"/>
      <c r="CX56" s="72"/>
      <c r="CY56" s="73"/>
      <c r="CZ56" s="72"/>
      <c r="DA56" s="73"/>
      <c r="DB56" s="72"/>
      <c r="DC56" s="73"/>
      <c r="DD56" s="72"/>
      <c r="DE56" s="73"/>
      <c r="DF56" s="72"/>
      <c r="DG56" s="73"/>
      <c r="DH56" s="72"/>
      <c r="DI56" s="73"/>
      <c r="DJ56" s="72"/>
      <c r="DK56" s="73"/>
      <c r="DL56" s="72"/>
      <c r="DM56" s="73"/>
      <c r="DN56" s="72"/>
      <c r="DO56" s="73"/>
      <c r="DP56" s="72"/>
      <c r="DQ56" s="73"/>
      <c r="DR56" s="72"/>
      <c r="DS56" s="73"/>
      <c r="DT56" s="72"/>
      <c r="DU56" s="73"/>
      <c r="DV56" s="72"/>
      <c r="DW56" s="73"/>
      <c r="DX56" s="72"/>
      <c r="DY56" s="73"/>
      <c r="DZ56" s="72"/>
      <c r="EA56" s="73"/>
      <c r="EB56" s="72"/>
      <c r="EC56" s="73"/>
    </row>
    <row r="57" spans="2:133" x14ac:dyDescent="0.2">
      <c r="B57" s="72"/>
      <c r="C57" s="73"/>
      <c r="D57" s="72"/>
      <c r="E57" s="73"/>
      <c r="F57" s="72"/>
      <c r="G57" s="73"/>
      <c r="H57" s="72"/>
      <c r="I57" s="73"/>
      <c r="J57" s="72"/>
      <c r="K57" s="73"/>
      <c r="L57" s="72"/>
      <c r="M57" s="73"/>
      <c r="N57" s="72"/>
      <c r="O57" s="73"/>
      <c r="P57" s="72"/>
      <c r="Q57" s="73"/>
      <c r="R57" s="72"/>
      <c r="S57" s="73"/>
      <c r="T57" s="72"/>
      <c r="U57" s="73"/>
      <c r="V57" s="72"/>
      <c r="W57" s="73"/>
      <c r="X57" s="72"/>
      <c r="Y57" s="73"/>
      <c r="Z57" s="72"/>
      <c r="AA57" s="73"/>
      <c r="AB57" s="72"/>
      <c r="AC57" s="73"/>
      <c r="AD57" s="72"/>
      <c r="AE57" s="73"/>
      <c r="AF57" s="72"/>
      <c r="AG57" s="73"/>
      <c r="AH57" s="72"/>
      <c r="AI57" s="73"/>
      <c r="AJ57" s="72"/>
      <c r="AK57" s="73"/>
      <c r="AL57" s="72">
        <v>52</v>
      </c>
      <c r="AM57" s="73">
        <v>9</v>
      </c>
      <c r="AN57" s="72"/>
      <c r="AO57" s="73"/>
      <c r="AP57" s="72"/>
      <c r="AQ57" s="73"/>
      <c r="AR57" s="72"/>
      <c r="AS57" s="73"/>
      <c r="AT57" s="72">
        <v>52</v>
      </c>
      <c r="AU57" s="73">
        <v>15</v>
      </c>
      <c r="AV57" s="72">
        <v>52</v>
      </c>
      <c r="AW57" s="73">
        <v>34</v>
      </c>
      <c r="AX57" s="72"/>
      <c r="AY57" s="73"/>
      <c r="AZ57" s="72"/>
      <c r="BA57" s="73"/>
      <c r="BB57" s="72"/>
      <c r="BC57" s="73"/>
      <c r="BD57" s="72"/>
      <c r="BE57" s="73"/>
      <c r="BF57" s="72"/>
      <c r="BG57" s="73"/>
      <c r="BH57" s="72"/>
      <c r="BI57" s="73"/>
      <c r="BJ57" s="72"/>
      <c r="BK57" s="73"/>
      <c r="BL57" s="72"/>
      <c r="BM57" s="73"/>
      <c r="BN57" s="72"/>
      <c r="BO57" s="73"/>
      <c r="BP57" s="72"/>
      <c r="BQ57" s="73"/>
      <c r="BR57" s="72"/>
      <c r="BS57" s="73"/>
      <c r="BT57" s="72"/>
      <c r="BU57" s="73"/>
      <c r="BV57" s="72"/>
      <c r="BW57" s="73"/>
      <c r="BX57" s="72"/>
      <c r="BY57" s="73"/>
      <c r="BZ57" s="72"/>
      <c r="CA57" s="74"/>
      <c r="CB57" s="75"/>
      <c r="CC57" s="73"/>
      <c r="CD57" s="72"/>
      <c r="CE57" s="73"/>
      <c r="CF57" s="72"/>
      <c r="CG57" s="73"/>
      <c r="CH57" s="72"/>
      <c r="CI57" s="73"/>
      <c r="CJ57" s="72"/>
      <c r="CK57" s="73"/>
      <c r="CL57" s="72"/>
      <c r="CM57" s="73"/>
      <c r="CN57" s="72"/>
      <c r="CO57" s="73"/>
      <c r="CP57" s="72"/>
      <c r="CQ57" s="73"/>
      <c r="CR57" s="72"/>
      <c r="CS57" s="73"/>
      <c r="CT57" s="72"/>
      <c r="CU57" s="73"/>
      <c r="CV57" s="72"/>
      <c r="CW57" s="73"/>
      <c r="CX57" s="72"/>
      <c r="CY57" s="73"/>
      <c r="CZ57" s="72"/>
      <c r="DA57" s="73"/>
      <c r="DB57" s="72"/>
      <c r="DC57" s="73"/>
      <c r="DD57" s="72"/>
      <c r="DE57" s="73"/>
      <c r="DF57" s="72"/>
      <c r="DG57" s="73"/>
      <c r="DH57" s="72"/>
      <c r="DI57" s="73"/>
      <c r="DJ57" s="72"/>
      <c r="DK57" s="73"/>
      <c r="DL57" s="72"/>
      <c r="DM57" s="73"/>
      <c r="DN57" s="72"/>
      <c r="DO57" s="73"/>
      <c r="DP57" s="72"/>
      <c r="DQ57" s="73"/>
      <c r="DR57" s="72"/>
      <c r="DS57" s="73"/>
      <c r="DT57" s="72"/>
      <c r="DU57" s="73"/>
      <c r="DV57" s="72"/>
      <c r="DW57" s="73"/>
      <c r="DX57" s="72"/>
      <c r="DY57" s="73"/>
      <c r="DZ57" s="72"/>
      <c r="EA57" s="73"/>
      <c r="EB57" s="72"/>
      <c r="EC57" s="73"/>
    </row>
    <row r="58" spans="2:133" x14ac:dyDescent="0.2">
      <c r="B58" s="72"/>
      <c r="C58" s="73"/>
      <c r="D58" s="72"/>
      <c r="E58" s="73"/>
      <c r="F58" s="72"/>
      <c r="G58" s="73"/>
      <c r="H58" s="72"/>
      <c r="I58" s="73"/>
      <c r="J58" s="72"/>
      <c r="K58" s="73"/>
      <c r="L58" s="72"/>
      <c r="M58" s="73"/>
      <c r="N58" s="72"/>
      <c r="O58" s="73"/>
      <c r="P58" s="72"/>
      <c r="Q58" s="73"/>
      <c r="R58" s="72"/>
      <c r="S58" s="73"/>
      <c r="T58" s="72"/>
      <c r="U58" s="73"/>
      <c r="V58" s="72"/>
      <c r="W58" s="73"/>
      <c r="X58" s="72"/>
      <c r="Y58" s="73"/>
      <c r="Z58" s="72"/>
      <c r="AA58" s="73"/>
      <c r="AB58" s="72"/>
      <c r="AC58" s="73"/>
      <c r="AD58" s="72"/>
      <c r="AE58" s="73"/>
      <c r="AF58" s="72"/>
      <c r="AG58" s="73"/>
      <c r="AH58" s="72"/>
      <c r="AI58" s="73"/>
      <c r="AJ58" s="72"/>
      <c r="AK58" s="73"/>
      <c r="AL58" s="72">
        <v>53</v>
      </c>
      <c r="AM58" s="73">
        <v>6</v>
      </c>
      <c r="AN58" s="72"/>
      <c r="AO58" s="73"/>
      <c r="AP58" s="72"/>
      <c r="AQ58" s="73"/>
      <c r="AR58" s="72"/>
      <c r="AS58" s="73"/>
      <c r="AT58" s="72">
        <v>53</v>
      </c>
      <c r="AU58" s="73">
        <v>12</v>
      </c>
      <c r="AV58" s="72"/>
      <c r="AW58" s="73"/>
      <c r="AX58" s="72"/>
      <c r="AY58" s="73"/>
      <c r="AZ58" s="72"/>
      <c r="BA58" s="73"/>
      <c r="BB58" s="72"/>
      <c r="BC58" s="73"/>
      <c r="BD58" s="72"/>
      <c r="BE58" s="73"/>
      <c r="BF58" s="72"/>
      <c r="BG58" s="73"/>
      <c r="BH58" s="72"/>
      <c r="BI58" s="73"/>
      <c r="BJ58" s="72"/>
      <c r="BK58" s="73"/>
      <c r="BL58" s="72"/>
      <c r="BM58" s="73"/>
      <c r="BN58" s="72"/>
      <c r="BO58" s="73"/>
      <c r="BP58" s="72"/>
      <c r="BQ58" s="73"/>
      <c r="BR58" s="72"/>
      <c r="BS58" s="73"/>
      <c r="BT58" s="72"/>
      <c r="BU58" s="73"/>
      <c r="BV58" s="72"/>
      <c r="BW58" s="73"/>
      <c r="BX58" s="72"/>
      <c r="BY58" s="73"/>
      <c r="BZ58" s="72"/>
      <c r="CA58" s="74"/>
      <c r="CB58" s="75"/>
      <c r="CC58" s="73"/>
      <c r="CD58" s="72"/>
      <c r="CE58" s="73"/>
      <c r="CF58" s="72"/>
      <c r="CG58" s="73"/>
      <c r="CH58" s="72"/>
      <c r="CI58" s="73"/>
      <c r="CJ58" s="72"/>
      <c r="CK58" s="73"/>
      <c r="CL58" s="72"/>
      <c r="CM58" s="73"/>
      <c r="CN58" s="72"/>
      <c r="CO58" s="73"/>
      <c r="CP58" s="72"/>
      <c r="CQ58" s="73"/>
      <c r="CR58" s="72"/>
      <c r="CS58" s="73"/>
      <c r="CT58" s="72"/>
      <c r="CU58" s="73"/>
      <c r="CV58" s="72"/>
      <c r="CW58" s="73"/>
      <c r="CX58" s="72"/>
      <c r="CY58" s="73"/>
      <c r="CZ58" s="72"/>
      <c r="DA58" s="73"/>
      <c r="DB58" s="72"/>
      <c r="DC58" s="73"/>
      <c r="DD58" s="72"/>
      <c r="DE58" s="73"/>
      <c r="DF58" s="72"/>
      <c r="DG58" s="73"/>
      <c r="DH58" s="72"/>
      <c r="DI58" s="73"/>
      <c r="DJ58" s="72"/>
      <c r="DK58" s="73"/>
      <c r="DL58" s="72"/>
      <c r="DM58" s="73"/>
      <c r="DN58" s="72"/>
      <c r="DO58" s="73"/>
      <c r="DP58" s="72"/>
      <c r="DQ58" s="73"/>
      <c r="DR58" s="72"/>
      <c r="DS58" s="73"/>
      <c r="DT58" s="72"/>
      <c r="DU58" s="73"/>
      <c r="DV58" s="72"/>
      <c r="DW58" s="73"/>
      <c r="DX58" s="72"/>
      <c r="DY58" s="73"/>
      <c r="DZ58" s="72"/>
      <c r="EA58" s="73"/>
      <c r="EB58" s="72"/>
      <c r="EC58" s="73"/>
    </row>
    <row r="59" spans="2:133" x14ac:dyDescent="0.2">
      <c r="B59" s="72"/>
      <c r="C59" s="73"/>
      <c r="D59" s="72"/>
      <c r="E59" s="73"/>
      <c r="F59" s="72"/>
      <c r="G59" s="73"/>
      <c r="H59" s="72"/>
      <c r="I59" s="73"/>
      <c r="J59" s="72"/>
      <c r="K59" s="73"/>
      <c r="L59" s="72"/>
      <c r="M59" s="73"/>
      <c r="N59" s="72"/>
      <c r="O59" s="73"/>
      <c r="P59" s="72"/>
      <c r="Q59" s="73"/>
      <c r="R59" s="72"/>
      <c r="S59" s="73"/>
      <c r="T59" s="72"/>
      <c r="U59" s="73"/>
      <c r="V59" s="72"/>
      <c r="W59" s="73"/>
      <c r="X59" s="72"/>
      <c r="Y59" s="73"/>
      <c r="Z59" s="72"/>
      <c r="AA59" s="73"/>
      <c r="AB59" s="72"/>
      <c r="AC59" s="73"/>
      <c r="AD59" s="72"/>
      <c r="AE59" s="73"/>
      <c r="AF59" s="72"/>
      <c r="AG59" s="73"/>
      <c r="AH59" s="72"/>
      <c r="AI59" s="73"/>
      <c r="AJ59" s="72"/>
      <c r="AK59" s="73"/>
      <c r="AL59" s="72">
        <v>54</v>
      </c>
      <c r="AM59" s="73">
        <v>7</v>
      </c>
      <c r="AN59" s="72"/>
      <c r="AO59" s="73"/>
      <c r="AP59" s="72"/>
      <c r="AQ59" s="73"/>
      <c r="AR59" s="72"/>
      <c r="AS59" s="73"/>
      <c r="AT59" s="72">
        <v>54</v>
      </c>
      <c r="AU59" s="73">
        <v>17</v>
      </c>
      <c r="AV59" s="72"/>
      <c r="AW59" s="73"/>
      <c r="AX59" s="72"/>
      <c r="AY59" s="73"/>
      <c r="AZ59" s="72"/>
      <c r="BA59" s="73"/>
      <c r="BB59" s="72"/>
      <c r="BC59" s="73"/>
      <c r="BD59" s="72"/>
      <c r="BE59" s="73"/>
      <c r="BF59" s="72"/>
      <c r="BG59" s="73"/>
      <c r="BH59" s="72"/>
      <c r="BI59" s="73"/>
      <c r="BJ59" s="72"/>
      <c r="BK59" s="73"/>
      <c r="BL59" s="72"/>
      <c r="BM59" s="73"/>
      <c r="BN59" s="72"/>
      <c r="BO59" s="73"/>
      <c r="BP59" s="72"/>
      <c r="BQ59" s="73"/>
      <c r="BR59" s="72"/>
      <c r="BS59" s="73"/>
      <c r="BT59" s="72"/>
      <c r="BU59" s="73"/>
      <c r="BV59" s="72"/>
      <c r="BW59" s="73"/>
      <c r="BX59" s="72"/>
      <c r="BY59" s="73"/>
      <c r="BZ59" s="72"/>
      <c r="CA59" s="74"/>
      <c r="CB59" s="75"/>
      <c r="CC59" s="73"/>
      <c r="CD59" s="72"/>
      <c r="CE59" s="73"/>
      <c r="CF59" s="72"/>
      <c r="CG59" s="73"/>
      <c r="CH59" s="72"/>
      <c r="CI59" s="73"/>
      <c r="CJ59" s="72"/>
      <c r="CK59" s="73"/>
      <c r="CL59" s="72"/>
      <c r="CM59" s="73"/>
      <c r="CN59" s="72"/>
      <c r="CO59" s="73"/>
      <c r="CP59" s="72"/>
      <c r="CQ59" s="73"/>
      <c r="CR59" s="72"/>
      <c r="CS59" s="73"/>
      <c r="CT59" s="72"/>
      <c r="CU59" s="73"/>
      <c r="CV59" s="72"/>
      <c r="CW59" s="73"/>
      <c r="CX59" s="72"/>
      <c r="CY59" s="73"/>
      <c r="CZ59" s="72"/>
      <c r="DA59" s="73"/>
      <c r="DB59" s="72"/>
      <c r="DC59" s="73"/>
      <c r="DD59" s="72"/>
      <c r="DE59" s="73"/>
      <c r="DF59" s="72"/>
      <c r="DG59" s="73"/>
      <c r="DH59" s="72"/>
      <c r="DI59" s="73"/>
      <c r="DJ59" s="72"/>
      <c r="DK59" s="73"/>
      <c r="DL59" s="72"/>
      <c r="DM59" s="73"/>
      <c r="DN59" s="72"/>
      <c r="DO59" s="73"/>
      <c r="DP59" s="72"/>
      <c r="DQ59" s="73"/>
      <c r="DR59" s="72"/>
      <c r="DS59" s="73"/>
      <c r="DT59" s="72"/>
      <c r="DU59" s="73"/>
      <c r="DV59" s="72"/>
      <c r="DW59" s="73"/>
      <c r="DX59" s="72"/>
      <c r="DY59" s="73"/>
      <c r="DZ59" s="72"/>
      <c r="EA59" s="73"/>
      <c r="EB59" s="72"/>
      <c r="EC59" s="73"/>
    </row>
    <row r="60" spans="2:133" x14ac:dyDescent="0.2">
      <c r="B60" s="72"/>
      <c r="C60" s="73"/>
      <c r="D60" s="72"/>
      <c r="E60" s="73"/>
      <c r="F60" s="72"/>
      <c r="G60" s="73"/>
      <c r="H60" s="72"/>
      <c r="I60" s="73"/>
      <c r="J60" s="72"/>
      <c r="K60" s="73"/>
      <c r="L60" s="72"/>
      <c r="M60" s="73"/>
      <c r="N60" s="72"/>
      <c r="O60" s="73"/>
      <c r="P60" s="72"/>
      <c r="Q60" s="73"/>
      <c r="R60" s="72"/>
      <c r="S60" s="73"/>
      <c r="T60" s="72"/>
      <c r="U60" s="73"/>
      <c r="V60" s="72"/>
      <c r="W60" s="73"/>
      <c r="X60" s="72"/>
      <c r="Y60" s="73"/>
      <c r="Z60" s="72"/>
      <c r="AA60" s="73"/>
      <c r="AB60" s="72"/>
      <c r="AC60" s="73"/>
      <c r="AD60" s="72"/>
      <c r="AE60" s="73"/>
      <c r="AF60" s="72"/>
      <c r="AG60" s="73"/>
      <c r="AH60" s="72"/>
      <c r="AI60" s="73"/>
      <c r="AJ60" s="72"/>
      <c r="AK60" s="73"/>
      <c r="AL60" s="72">
        <v>55</v>
      </c>
      <c r="AM60" s="73">
        <v>23</v>
      </c>
      <c r="AN60" s="72"/>
      <c r="AO60" s="73"/>
      <c r="AP60" s="72"/>
      <c r="AQ60" s="73"/>
      <c r="AR60" s="72"/>
      <c r="AS60" s="73"/>
      <c r="AT60" s="72">
        <v>55</v>
      </c>
      <c r="AU60" s="73">
        <v>13</v>
      </c>
      <c r="AV60" s="72"/>
      <c r="AW60" s="73"/>
      <c r="AX60" s="72"/>
      <c r="AY60" s="73"/>
      <c r="AZ60" s="72"/>
      <c r="BA60" s="73"/>
      <c r="BB60" s="72"/>
      <c r="BC60" s="73"/>
      <c r="BD60" s="72"/>
      <c r="BE60" s="73"/>
      <c r="BF60" s="72"/>
      <c r="BG60" s="73"/>
      <c r="BH60" s="72"/>
      <c r="BI60" s="73"/>
      <c r="BJ60" s="72"/>
      <c r="BK60" s="73"/>
      <c r="BL60" s="72"/>
      <c r="BM60" s="73"/>
      <c r="BN60" s="72"/>
      <c r="BO60" s="73"/>
      <c r="BP60" s="72"/>
      <c r="BQ60" s="73"/>
      <c r="BR60" s="72"/>
      <c r="BS60" s="73"/>
      <c r="BT60" s="72"/>
      <c r="BU60" s="73"/>
      <c r="BV60" s="72"/>
      <c r="BW60" s="73"/>
      <c r="BX60" s="72"/>
      <c r="BY60" s="73"/>
      <c r="BZ60" s="72"/>
      <c r="CA60" s="74"/>
      <c r="CB60" s="75"/>
      <c r="CC60" s="73"/>
      <c r="CD60" s="72"/>
      <c r="CE60" s="73"/>
      <c r="CF60" s="72"/>
      <c r="CG60" s="73"/>
      <c r="CH60" s="72"/>
      <c r="CI60" s="73"/>
      <c r="CJ60" s="72"/>
      <c r="CK60" s="73"/>
      <c r="CL60" s="72"/>
      <c r="CM60" s="73"/>
      <c r="CN60" s="72"/>
      <c r="CO60" s="73"/>
      <c r="CP60" s="72"/>
      <c r="CQ60" s="73"/>
      <c r="CR60" s="72"/>
      <c r="CS60" s="73"/>
      <c r="CT60" s="72"/>
      <c r="CU60" s="73"/>
      <c r="CV60" s="72"/>
      <c r="CW60" s="73"/>
      <c r="CX60" s="72"/>
      <c r="CY60" s="73"/>
      <c r="CZ60" s="72"/>
      <c r="DA60" s="73"/>
      <c r="DB60" s="72"/>
      <c r="DC60" s="73"/>
      <c r="DD60" s="72"/>
      <c r="DE60" s="73"/>
      <c r="DF60" s="72"/>
      <c r="DG60" s="73"/>
      <c r="DH60" s="72"/>
      <c r="DI60" s="73"/>
      <c r="DJ60" s="72"/>
      <c r="DK60" s="73"/>
      <c r="DL60" s="72"/>
      <c r="DM60" s="73"/>
      <c r="DN60" s="72"/>
      <c r="DO60" s="73"/>
      <c r="DP60" s="72"/>
      <c r="DQ60" s="73"/>
      <c r="DR60" s="72"/>
      <c r="DS60" s="73"/>
      <c r="DT60" s="72"/>
      <c r="DU60" s="73"/>
      <c r="DV60" s="72"/>
      <c r="DW60" s="73"/>
      <c r="DX60" s="72"/>
      <c r="DY60" s="73"/>
      <c r="DZ60" s="72"/>
      <c r="EA60" s="73"/>
      <c r="EB60" s="72"/>
      <c r="EC60" s="73"/>
    </row>
    <row r="61" spans="2:133" x14ac:dyDescent="0.2">
      <c r="B61" s="72"/>
      <c r="C61" s="73"/>
      <c r="D61" s="72"/>
      <c r="E61" s="73"/>
      <c r="F61" s="72"/>
      <c r="G61" s="73"/>
      <c r="H61" s="72"/>
      <c r="I61" s="73"/>
      <c r="J61" s="72"/>
      <c r="K61" s="73"/>
      <c r="L61" s="72"/>
      <c r="M61" s="73"/>
      <c r="N61" s="72"/>
      <c r="O61" s="73"/>
      <c r="P61" s="72"/>
      <c r="Q61" s="73"/>
      <c r="R61" s="72"/>
      <c r="S61" s="73"/>
      <c r="T61" s="72"/>
      <c r="U61" s="73"/>
      <c r="V61" s="72"/>
      <c r="W61" s="73"/>
      <c r="X61" s="72"/>
      <c r="Y61" s="73"/>
      <c r="Z61" s="72"/>
      <c r="AA61" s="73"/>
      <c r="AB61" s="72"/>
      <c r="AC61" s="73"/>
      <c r="AD61" s="72"/>
      <c r="AE61" s="73"/>
      <c r="AF61" s="72"/>
      <c r="AG61" s="73"/>
      <c r="AH61" s="72"/>
      <c r="AI61" s="73"/>
      <c r="AJ61" s="72"/>
      <c r="AK61" s="73"/>
      <c r="AL61" s="72">
        <v>56</v>
      </c>
      <c r="AM61" s="73">
        <v>13</v>
      </c>
      <c r="AN61" s="72"/>
      <c r="AO61" s="73"/>
      <c r="AP61" s="72"/>
      <c r="AQ61" s="73"/>
      <c r="AR61" s="72"/>
      <c r="AS61" s="73"/>
      <c r="AT61" s="72">
        <v>56</v>
      </c>
      <c r="AU61" s="73">
        <v>12</v>
      </c>
      <c r="AV61" s="72"/>
      <c r="AW61" s="73"/>
      <c r="AX61" s="72"/>
      <c r="AY61" s="73"/>
      <c r="AZ61" s="72"/>
      <c r="BA61" s="73"/>
      <c r="BB61" s="72"/>
      <c r="BC61" s="73"/>
      <c r="BD61" s="72"/>
      <c r="BE61" s="73"/>
      <c r="BF61" s="72"/>
      <c r="BG61" s="73"/>
      <c r="BH61" s="72"/>
      <c r="BI61" s="73"/>
      <c r="BJ61" s="72"/>
      <c r="BK61" s="73"/>
      <c r="BL61" s="72"/>
      <c r="BM61" s="73"/>
      <c r="BN61" s="72"/>
      <c r="BO61" s="73"/>
      <c r="BP61" s="72"/>
      <c r="BQ61" s="73"/>
      <c r="BR61" s="72"/>
      <c r="BS61" s="73"/>
      <c r="BT61" s="72"/>
      <c r="BU61" s="73"/>
      <c r="BV61" s="72"/>
      <c r="BW61" s="73"/>
      <c r="BX61" s="72"/>
      <c r="BY61" s="73"/>
      <c r="BZ61" s="72"/>
      <c r="CA61" s="74"/>
      <c r="CB61" s="75"/>
      <c r="CC61" s="73"/>
      <c r="CD61" s="72"/>
      <c r="CE61" s="73"/>
      <c r="CF61" s="72"/>
      <c r="CG61" s="73"/>
      <c r="CH61" s="72"/>
      <c r="CI61" s="73"/>
      <c r="CJ61" s="72"/>
      <c r="CK61" s="73"/>
      <c r="CL61" s="72"/>
      <c r="CM61" s="73"/>
      <c r="CN61" s="72"/>
      <c r="CO61" s="73"/>
      <c r="CP61" s="72"/>
      <c r="CQ61" s="73"/>
      <c r="CR61" s="72"/>
      <c r="CS61" s="73"/>
      <c r="CT61" s="72"/>
      <c r="CU61" s="73"/>
      <c r="CV61" s="72"/>
      <c r="CW61" s="73"/>
      <c r="CX61" s="72"/>
      <c r="CY61" s="73"/>
      <c r="CZ61" s="72"/>
      <c r="DA61" s="73"/>
      <c r="DB61" s="72"/>
      <c r="DC61" s="73"/>
      <c r="DD61" s="72"/>
      <c r="DE61" s="73"/>
      <c r="DF61" s="72"/>
      <c r="DG61" s="73"/>
      <c r="DH61" s="72"/>
      <c r="DI61" s="73"/>
      <c r="DJ61" s="72"/>
      <c r="DK61" s="73"/>
      <c r="DL61" s="72"/>
      <c r="DM61" s="73"/>
      <c r="DN61" s="72"/>
      <c r="DO61" s="73"/>
      <c r="DP61" s="72"/>
      <c r="DQ61" s="73"/>
      <c r="DR61" s="72"/>
      <c r="DS61" s="73"/>
      <c r="DT61" s="72"/>
      <c r="DU61" s="73"/>
      <c r="DV61" s="72"/>
      <c r="DW61" s="73"/>
      <c r="DX61" s="72"/>
      <c r="DY61" s="73"/>
      <c r="DZ61" s="72"/>
      <c r="EA61" s="73"/>
      <c r="EB61" s="72"/>
      <c r="EC61" s="73"/>
    </row>
    <row r="62" spans="2:133" x14ac:dyDescent="0.2">
      <c r="B62" s="72"/>
      <c r="C62" s="73"/>
      <c r="D62" s="72"/>
      <c r="E62" s="73"/>
      <c r="F62" s="72"/>
      <c r="G62" s="73"/>
      <c r="H62" s="72"/>
      <c r="I62" s="73"/>
      <c r="J62" s="72"/>
      <c r="K62" s="73"/>
      <c r="L62" s="72"/>
      <c r="M62" s="73"/>
      <c r="N62" s="72"/>
      <c r="O62" s="73"/>
      <c r="P62" s="72"/>
      <c r="Q62" s="73"/>
      <c r="R62" s="72"/>
      <c r="S62" s="73"/>
      <c r="T62" s="72"/>
      <c r="U62" s="73"/>
      <c r="V62" s="72"/>
      <c r="W62" s="73"/>
      <c r="X62" s="72"/>
      <c r="Y62" s="73"/>
      <c r="Z62" s="72"/>
      <c r="AA62" s="73"/>
      <c r="AB62" s="72"/>
      <c r="AC62" s="73"/>
      <c r="AD62" s="72"/>
      <c r="AE62" s="73"/>
      <c r="AF62" s="72"/>
      <c r="AG62" s="73"/>
      <c r="AH62" s="72"/>
      <c r="AI62" s="73"/>
      <c r="AJ62" s="72"/>
      <c r="AK62" s="73"/>
      <c r="AL62" s="72">
        <v>57</v>
      </c>
      <c r="AM62" s="73">
        <v>11</v>
      </c>
      <c r="AN62" s="72"/>
      <c r="AO62" s="73"/>
      <c r="AP62" s="72"/>
      <c r="AQ62" s="73"/>
      <c r="AR62" s="72"/>
      <c r="AS62" s="73"/>
      <c r="AT62" s="72">
        <v>57</v>
      </c>
      <c r="AU62" s="73">
        <v>21</v>
      </c>
      <c r="AV62" s="72"/>
      <c r="AW62" s="73"/>
      <c r="AX62" s="72"/>
      <c r="AY62" s="73"/>
      <c r="AZ62" s="72"/>
      <c r="BA62" s="73"/>
      <c r="BB62" s="72"/>
      <c r="BC62" s="73"/>
      <c r="BD62" s="72"/>
      <c r="BE62" s="73"/>
      <c r="BF62" s="72"/>
      <c r="BG62" s="73"/>
      <c r="BH62" s="72"/>
      <c r="BI62" s="73"/>
      <c r="BJ62" s="72"/>
      <c r="BK62" s="73"/>
      <c r="BL62" s="72"/>
      <c r="BM62" s="73"/>
      <c r="BN62" s="72"/>
      <c r="BO62" s="73"/>
      <c r="BP62" s="72"/>
      <c r="BQ62" s="73"/>
      <c r="BR62" s="72"/>
      <c r="BS62" s="73"/>
      <c r="BT62" s="72"/>
      <c r="BU62" s="73"/>
      <c r="BV62" s="72"/>
      <c r="BW62" s="73"/>
      <c r="BX62" s="72"/>
      <c r="BY62" s="73"/>
      <c r="BZ62" s="72"/>
      <c r="CA62" s="74"/>
      <c r="CB62" s="75"/>
      <c r="CC62" s="73"/>
      <c r="CD62" s="72"/>
      <c r="CE62" s="73"/>
      <c r="CF62" s="72"/>
      <c r="CG62" s="73"/>
      <c r="CH62" s="72"/>
      <c r="CI62" s="73"/>
      <c r="CJ62" s="72"/>
      <c r="CK62" s="73"/>
      <c r="CL62" s="72"/>
      <c r="CM62" s="73"/>
      <c r="CN62" s="72"/>
      <c r="CO62" s="73"/>
      <c r="CP62" s="72"/>
      <c r="CQ62" s="73"/>
      <c r="CR62" s="72"/>
      <c r="CS62" s="73"/>
      <c r="CT62" s="72"/>
      <c r="CU62" s="73"/>
      <c r="CV62" s="72"/>
      <c r="CW62" s="73"/>
      <c r="CX62" s="72"/>
      <c r="CY62" s="73"/>
      <c r="CZ62" s="72"/>
      <c r="DA62" s="73"/>
      <c r="DB62" s="72"/>
      <c r="DC62" s="73"/>
      <c r="DD62" s="72"/>
      <c r="DE62" s="73"/>
      <c r="DF62" s="72"/>
      <c r="DG62" s="73"/>
      <c r="DH62" s="72"/>
      <c r="DI62" s="73"/>
      <c r="DJ62" s="72"/>
      <c r="DK62" s="73"/>
      <c r="DL62" s="72"/>
      <c r="DM62" s="73"/>
      <c r="DN62" s="72"/>
      <c r="DO62" s="73"/>
      <c r="DP62" s="72"/>
      <c r="DQ62" s="73"/>
      <c r="DR62" s="72"/>
      <c r="DS62" s="73"/>
      <c r="DT62" s="72"/>
      <c r="DU62" s="73"/>
      <c r="DV62" s="72"/>
      <c r="DW62" s="73"/>
      <c r="DX62" s="72"/>
      <c r="DY62" s="73"/>
      <c r="DZ62" s="72"/>
      <c r="EA62" s="73"/>
      <c r="EB62" s="72"/>
      <c r="EC62" s="73"/>
    </row>
    <row r="63" spans="2:133" x14ac:dyDescent="0.2">
      <c r="B63" s="72"/>
      <c r="C63" s="73"/>
      <c r="D63" s="72"/>
      <c r="E63" s="73"/>
      <c r="F63" s="72"/>
      <c r="G63" s="73"/>
      <c r="H63" s="72"/>
      <c r="I63" s="73"/>
      <c r="J63" s="72"/>
      <c r="K63" s="73"/>
      <c r="L63" s="72"/>
      <c r="M63" s="73"/>
      <c r="N63" s="72"/>
      <c r="O63" s="73"/>
      <c r="P63" s="72"/>
      <c r="Q63" s="73"/>
      <c r="R63" s="72"/>
      <c r="S63" s="73"/>
      <c r="T63" s="72"/>
      <c r="U63" s="73"/>
      <c r="V63" s="72"/>
      <c r="W63" s="73"/>
      <c r="X63" s="72"/>
      <c r="Y63" s="73"/>
      <c r="Z63" s="72"/>
      <c r="AA63" s="73"/>
      <c r="AB63" s="72"/>
      <c r="AC63" s="73"/>
      <c r="AD63" s="72"/>
      <c r="AE63" s="73"/>
      <c r="AF63" s="72"/>
      <c r="AG63" s="73"/>
      <c r="AH63" s="72"/>
      <c r="AI63" s="73"/>
      <c r="AJ63" s="72"/>
      <c r="AK63" s="73"/>
      <c r="AL63" s="72">
        <v>58</v>
      </c>
      <c r="AM63" s="73">
        <v>11</v>
      </c>
      <c r="AN63" s="72"/>
      <c r="AO63" s="73"/>
      <c r="AP63" s="72"/>
      <c r="AQ63" s="73"/>
      <c r="AR63" s="72"/>
      <c r="AS63" s="73"/>
      <c r="AT63" s="72">
        <v>58</v>
      </c>
      <c r="AU63" s="73">
        <v>14</v>
      </c>
      <c r="AV63" s="72"/>
      <c r="AW63" s="73"/>
      <c r="AX63" s="72"/>
      <c r="AY63" s="73"/>
      <c r="AZ63" s="72"/>
      <c r="BA63" s="73"/>
      <c r="BB63" s="72"/>
      <c r="BC63" s="73"/>
      <c r="BD63" s="72"/>
      <c r="BE63" s="73"/>
      <c r="BF63" s="72"/>
      <c r="BG63" s="73"/>
      <c r="BH63" s="72"/>
      <c r="BI63" s="73"/>
      <c r="BJ63" s="72"/>
      <c r="BK63" s="73"/>
      <c r="BL63" s="72"/>
      <c r="BM63" s="73"/>
      <c r="BN63" s="72"/>
      <c r="BO63" s="73"/>
      <c r="BP63" s="72"/>
      <c r="BQ63" s="73"/>
      <c r="BR63" s="72"/>
      <c r="BS63" s="73"/>
      <c r="BT63" s="72"/>
      <c r="BU63" s="73"/>
      <c r="BV63" s="72"/>
      <c r="BW63" s="73"/>
      <c r="BX63" s="72"/>
      <c r="BY63" s="73"/>
      <c r="BZ63" s="72"/>
      <c r="CA63" s="74"/>
      <c r="CB63" s="75"/>
      <c r="CC63" s="73"/>
      <c r="CD63" s="72"/>
      <c r="CE63" s="73"/>
      <c r="CF63" s="72"/>
      <c r="CG63" s="73"/>
      <c r="CH63" s="72"/>
      <c r="CI63" s="73"/>
      <c r="CJ63" s="72"/>
      <c r="CK63" s="73"/>
      <c r="CL63" s="72"/>
      <c r="CM63" s="73"/>
      <c r="CN63" s="72"/>
      <c r="CO63" s="73"/>
      <c r="CP63" s="72"/>
      <c r="CQ63" s="73"/>
      <c r="CR63" s="72"/>
      <c r="CS63" s="73"/>
      <c r="CT63" s="72"/>
      <c r="CU63" s="73"/>
      <c r="CV63" s="72"/>
      <c r="CW63" s="73"/>
      <c r="CX63" s="72"/>
      <c r="CY63" s="73"/>
      <c r="CZ63" s="72"/>
      <c r="DA63" s="73"/>
      <c r="DB63" s="72"/>
      <c r="DC63" s="73"/>
      <c r="DD63" s="72"/>
      <c r="DE63" s="73"/>
      <c r="DF63" s="72"/>
      <c r="DG63" s="73"/>
      <c r="DH63" s="72"/>
      <c r="DI63" s="73"/>
      <c r="DJ63" s="72"/>
      <c r="DK63" s="73"/>
      <c r="DL63" s="72"/>
      <c r="DM63" s="73"/>
      <c r="DN63" s="72"/>
      <c r="DO63" s="73"/>
      <c r="DP63" s="72"/>
      <c r="DQ63" s="73"/>
      <c r="DR63" s="72"/>
      <c r="DS63" s="73"/>
      <c r="DT63" s="72"/>
      <c r="DU63" s="73"/>
      <c r="DV63" s="72"/>
      <c r="DW63" s="73"/>
      <c r="DX63" s="72"/>
      <c r="DY63" s="73"/>
      <c r="DZ63" s="72"/>
      <c r="EA63" s="73"/>
      <c r="EB63" s="72"/>
      <c r="EC63" s="73"/>
    </row>
    <row r="64" spans="2:133" x14ac:dyDescent="0.2">
      <c r="B64" s="72"/>
      <c r="C64" s="73"/>
      <c r="D64" s="72"/>
      <c r="E64" s="73"/>
      <c r="F64" s="72"/>
      <c r="G64" s="73"/>
      <c r="H64" s="72"/>
      <c r="I64" s="73"/>
      <c r="J64" s="72"/>
      <c r="K64" s="73"/>
      <c r="L64" s="72"/>
      <c r="M64" s="73"/>
      <c r="N64" s="72"/>
      <c r="O64" s="73"/>
      <c r="P64" s="72"/>
      <c r="Q64" s="73"/>
      <c r="R64" s="72"/>
      <c r="S64" s="73"/>
      <c r="T64" s="72"/>
      <c r="U64" s="73"/>
      <c r="V64" s="72"/>
      <c r="W64" s="73"/>
      <c r="X64" s="72"/>
      <c r="Y64" s="73"/>
      <c r="Z64" s="72"/>
      <c r="AA64" s="73"/>
      <c r="AB64" s="72"/>
      <c r="AC64" s="73"/>
      <c r="AD64" s="72"/>
      <c r="AE64" s="73"/>
      <c r="AF64" s="72"/>
      <c r="AG64" s="73"/>
      <c r="AH64" s="72"/>
      <c r="AI64" s="73"/>
      <c r="AJ64" s="72"/>
      <c r="AK64" s="73"/>
      <c r="AL64" s="72">
        <v>59</v>
      </c>
      <c r="AM64" s="73">
        <v>17</v>
      </c>
      <c r="AN64" s="72"/>
      <c r="AO64" s="73"/>
      <c r="AP64" s="72"/>
      <c r="AQ64" s="73"/>
      <c r="AR64" s="72"/>
      <c r="AS64" s="73"/>
      <c r="AT64" s="72">
        <v>59</v>
      </c>
      <c r="AU64" s="73">
        <v>21</v>
      </c>
      <c r="AV64" s="72"/>
      <c r="AW64" s="73"/>
      <c r="AX64" s="72"/>
      <c r="AY64" s="73"/>
      <c r="AZ64" s="72"/>
      <c r="BA64" s="73"/>
      <c r="BB64" s="72"/>
      <c r="BC64" s="73"/>
      <c r="BD64" s="72"/>
      <c r="BE64" s="73"/>
      <c r="BF64" s="72"/>
      <c r="BG64" s="73"/>
      <c r="BH64" s="72"/>
      <c r="BI64" s="73"/>
      <c r="BJ64" s="72"/>
      <c r="BK64" s="73"/>
      <c r="BL64" s="72"/>
      <c r="BM64" s="73"/>
      <c r="BN64" s="72"/>
      <c r="BO64" s="73"/>
      <c r="BP64" s="72"/>
      <c r="BQ64" s="73"/>
      <c r="BR64" s="72"/>
      <c r="BS64" s="73"/>
      <c r="BT64" s="72"/>
      <c r="BU64" s="73"/>
      <c r="BV64" s="72"/>
      <c r="BW64" s="73"/>
      <c r="BX64" s="72"/>
      <c r="BY64" s="73"/>
      <c r="BZ64" s="72"/>
      <c r="CA64" s="74"/>
      <c r="CB64" s="75"/>
      <c r="CC64" s="73"/>
      <c r="CD64" s="72"/>
      <c r="CE64" s="73"/>
      <c r="CF64" s="72"/>
      <c r="CG64" s="73"/>
      <c r="CH64" s="72"/>
      <c r="CI64" s="73"/>
      <c r="CJ64" s="72"/>
      <c r="CK64" s="73"/>
      <c r="CL64" s="72"/>
      <c r="CM64" s="73"/>
      <c r="CN64" s="72"/>
      <c r="CO64" s="73"/>
      <c r="CP64" s="72"/>
      <c r="CQ64" s="73"/>
      <c r="CR64" s="72"/>
      <c r="CS64" s="73"/>
      <c r="CT64" s="72"/>
      <c r="CU64" s="73"/>
      <c r="CV64" s="72"/>
      <c r="CW64" s="73"/>
      <c r="CX64" s="72"/>
      <c r="CY64" s="73"/>
      <c r="CZ64" s="72"/>
      <c r="DA64" s="73"/>
      <c r="DB64" s="72"/>
      <c r="DC64" s="73"/>
      <c r="DD64" s="72"/>
      <c r="DE64" s="73"/>
      <c r="DF64" s="72"/>
      <c r="DG64" s="73"/>
      <c r="DH64" s="72"/>
      <c r="DI64" s="73"/>
      <c r="DJ64" s="72"/>
      <c r="DK64" s="73"/>
      <c r="DL64" s="72"/>
      <c r="DM64" s="73"/>
      <c r="DN64" s="72"/>
      <c r="DO64" s="73"/>
      <c r="DP64" s="72"/>
      <c r="DQ64" s="73"/>
      <c r="DR64" s="72"/>
      <c r="DS64" s="73"/>
      <c r="DT64" s="72"/>
      <c r="DU64" s="73"/>
      <c r="DV64" s="72"/>
      <c r="DW64" s="73"/>
      <c r="DX64" s="72"/>
      <c r="DY64" s="73"/>
      <c r="DZ64" s="72"/>
      <c r="EA64" s="73"/>
      <c r="EB64" s="72"/>
      <c r="EC64" s="73"/>
    </row>
    <row r="65" spans="2:135" x14ac:dyDescent="0.2">
      <c r="B65" s="72"/>
      <c r="C65" s="73"/>
      <c r="D65" s="72"/>
      <c r="E65" s="73"/>
      <c r="F65" s="72"/>
      <c r="G65" s="73"/>
      <c r="H65" s="72"/>
      <c r="I65" s="73"/>
      <c r="J65" s="72"/>
      <c r="K65" s="73"/>
      <c r="L65" s="72"/>
      <c r="M65" s="73"/>
      <c r="N65" s="72"/>
      <c r="O65" s="73"/>
      <c r="P65" s="72"/>
      <c r="Q65" s="73"/>
      <c r="R65" s="72"/>
      <c r="S65" s="73"/>
      <c r="T65" s="72"/>
      <c r="U65" s="73"/>
      <c r="V65" s="72"/>
      <c r="W65" s="73"/>
      <c r="X65" s="72"/>
      <c r="Y65" s="73"/>
      <c r="Z65" s="72"/>
      <c r="AA65" s="73"/>
      <c r="AB65" s="72"/>
      <c r="AC65" s="73"/>
      <c r="AD65" s="72"/>
      <c r="AE65" s="73"/>
      <c r="AF65" s="72"/>
      <c r="AG65" s="73"/>
      <c r="AH65" s="72"/>
      <c r="AI65" s="73"/>
      <c r="AJ65" s="72"/>
      <c r="AK65" s="73"/>
      <c r="AL65" s="72">
        <v>60</v>
      </c>
      <c r="AM65" s="73">
        <v>12</v>
      </c>
      <c r="AN65" s="72"/>
      <c r="AO65" s="73"/>
      <c r="AP65" s="72"/>
      <c r="AQ65" s="73"/>
      <c r="AR65" s="72"/>
      <c r="AS65" s="73"/>
      <c r="AT65" s="72">
        <v>60</v>
      </c>
      <c r="AU65" s="73">
        <v>22</v>
      </c>
      <c r="AV65" s="72"/>
      <c r="AW65" s="73"/>
      <c r="AX65" s="72"/>
      <c r="AY65" s="73"/>
      <c r="AZ65" s="72"/>
      <c r="BA65" s="73"/>
      <c r="BB65" s="72"/>
      <c r="BC65" s="73"/>
      <c r="BD65" s="72"/>
      <c r="BE65" s="73"/>
      <c r="BF65" s="72"/>
      <c r="BG65" s="73"/>
      <c r="BH65" s="72"/>
      <c r="BI65" s="73"/>
      <c r="BJ65" s="72"/>
      <c r="BK65" s="73"/>
      <c r="BL65" s="72"/>
      <c r="BM65" s="73"/>
      <c r="BN65" s="72"/>
      <c r="BO65" s="73"/>
      <c r="BP65" s="72"/>
      <c r="BQ65" s="73"/>
      <c r="BR65" s="72"/>
      <c r="BS65" s="73"/>
      <c r="BT65" s="72"/>
      <c r="BU65" s="73"/>
      <c r="BV65" s="72"/>
      <c r="BW65" s="73"/>
      <c r="BX65" s="72"/>
      <c r="BY65" s="73"/>
      <c r="BZ65" s="72"/>
      <c r="CA65" s="74"/>
      <c r="CB65" s="75"/>
      <c r="CC65" s="73"/>
      <c r="CD65" s="72"/>
      <c r="CE65" s="73"/>
      <c r="CF65" s="72"/>
      <c r="CG65" s="73"/>
      <c r="CH65" s="72"/>
      <c r="CI65" s="73"/>
      <c r="CJ65" s="72"/>
      <c r="CK65" s="73"/>
      <c r="CL65" s="72"/>
      <c r="CM65" s="73"/>
      <c r="CN65" s="72"/>
      <c r="CO65" s="73"/>
      <c r="CP65" s="72"/>
      <c r="CQ65" s="73"/>
      <c r="CR65" s="72"/>
      <c r="CS65" s="73"/>
      <c r="CT65" s="72"/>
      <c r="CU65" s="73"/>
      <c r="CV65" s="72"/>
      <c r="CW65" s="73"/>
      <c r="CX65" s="72"/>
      <c r="CY65" s="73"/>
      <c r="CZ65" s="72"/>
      <c r="DA65" s="73"/>
      <c r="DB65" s="72"/>
      <c r="DC65" s="73"/>
      <c r="DD65" s="72"/>
      <c r="DE65" s="73"/>
      <c r="DF65" s="72"/>
      <c r="DG65" s="73"/>
      <c r="DH65" s="72"/>
      <c r="DI65" s="73"/>
      <c r="DJ65" s="72"/>
      <c r="DK65" s="73"/>
      <c r="DL65" s="72"/>
      <c r="DM65" s="73"/>
      <c r="DN65" s="72"/>
      <c r="DO65" s="73"/>
      <c r="DP65" s="72"/>
      <c r="DQ65" s="73"/>
      <c r="DR65" s="72"/>
      <c r="DS65" s="73"/>
      <c r="DT65" s="72"/>
      <c r="DU65" s="73"/>
      <c r="DV65" s="72"/>
      <c r="DW65" s="73"/>
      <c r="DX65" s="72"/>
      <c r="DY65" s="73"/>
      <c r="DZ65" s="72"/>
      <c r="EA65" s="73"/>
      <c r="EB65" s="72"/>
      <c r="EC65" s="73"/>
    </row>
    <row r="66" spans="2:135" x14ac:dyDescent="0.2">
      <c r="B66" s="72"/>
      <c r="C66" s="73"/>
      <c r="D66" s="72"/>
      <c r="E66" s="73"/>
      <c r="F66" s="72"/>
      <c r="G66" s="73"/>
      <c r="H66" s="72"/>
      <c r="I66" s="73"/>
      <c r="J66" s="72"/>
      <c r="K66" s="73"/>
      <c r="L66" s="72"/>
      <c r="M66" s="73"/>
      <c r="N66" s="72"/>
      <c r="O66" s="73"/>
      <c r="P66" s="72"/>
      <c r="Q66" s="73"/>
      <c r="R66" s="72"/>
      <c r="S66" s="73"/>
      <c r="T66" s="72"/>
      <c r="U66" s="73"/>
      <c r="V66" s="72"/>
      <c r="W66" s="73"/>
      <c r="X66" s="72"/>
      <c r="Y66" s="73"/>
      <c r="Z66" s="72"/>
      <c r="AA66" s="73"/>
      <c r="AB66" s="72"/>
      <c r="AC66" s="73"/>
      <c r="AD66" s="72"/>
      <c r="AE66" s="73"/>
      <c r="AF66" s="72"/>
      <c r="AG66" s="73"/>
      <c r="AH66" s="72"/>
      <c r="AI66" s="73"/>
      <c r="AJ66" s="72"/>
      <c r="AK66" s="73"/>
      <c r="AL66" s="72">
        <v>61</v>
      </c>
      <c r="AM66" s="73">
        <v>8</v>
      </c>
      <c r="AN66" s="72"/>
      <c r="AO66" s="73"/>
      <c r="AP66" s="72"/>
      <c r="AQ66" s="73"/>
      <c r="AR66" s="72"/>
      <c r="AS66" s="73"/>
      <c r="AT66" s="72">
        <v>61</v>
      </c>
      <c r="AU66" s="73">
        <v>11</v>
      </c>
      <c r="AV66" s="72"/>
      <c r="AW66" s="73"/>
      <c r="AX66" s="72"/>
      <c r="AY66" s="73"/>
      <c r="AZ66" s="72"/>
      <c r="BA66" s="73"/>
      <c r="BB66" s="72"/>
      <c r="BC66" s="73"/>
      <c r="BD66" s="72"/>
      <c r="BE66" s="73"/>
      <c r="BF66" s="72"/>
      <c r="BG66" s="73"/>
      <c r="BH66" s="72"/>
      <c r="BI66" s="73"/>
      <c r="BJ66" s="72"/>
      <c r="BK66" s="73"/>
      <c r="BL66" s="72"/>
      <c r="BM66" s="73"/>
      <c r="BN66" s="72"/>
      <c r="BO66" s="73"/>
      <c r="BP66" s="72"/>
      <c r="BQ66" s="73"/>
      <c r="BR66" s="72"/>
      <c r="BS66" s="73"/>
      <c r="BT66" s="72"/>
      <c r="BU66" s="73"/>
      <c r="BV66" s="72"/>
      <c r="BW66" s="73"/>
      <c r="BX66" s="72"/>
      <c r="BY66" s="73"/>
      <c r="BZ66" s="72"/>
      <c r="CA66" s="74"/>
      <c r="CB66" s="75"/>
      <c r="CC66" s="73"/>
      <c r="CD66" s="72"/>
      <c r="CE66" s="73"/>
      <c r="CF66" s="72"/>
      <c r="CG66" s="73"/>
      <c r="CH66" s="72"/>
      <c r="CI66" s="73"/>
      <c r="CJ66" s="72"/>
      <c r="CK66" s="73"/>
      <c r="CL66" s="72"/>
      <c r="CM66" s="73"/>
      <c r="CN66" s="72"/>
      <c r="CO66" s="73"/>
      <c r="CP66" s="72"/>
      <c r="CQ66" s="73"/>
      <c r="CR66" s="72"/>
      <c r="CS66" s="73"/>
      <c r="CT66" s="72"/>
      <c r="CU66" s="73"/>
      <c r="CV66" s="72"/>
      <c r="CW66" s="73"/>
      <c r="CX66" s="72"/>
      <c r="CY66" s="73"/>
      <c r="CZ66" s="72"/>
      <c r="DA66" s="73"/>
      <c r="DB66" s="72"/>
      <c r="DC66" s="73"/>
      <c r="DD66" s="72"/>
      <c r="DE66" s="73"/>
      <c r="DF66" s="72"/>
      <c r="DG66" s="73"/>
      <c r="DH66" s="72"/>
      <c r="DI66" s="73"/>
      <c r="DJ66" s="72"/>
      <c r="DK66" s="73"/>
      <c r="DL66" s="72"/>
      <c r="DM66" s="73"/>
      <c r="DN66" s="72"/>
      <c r="DO66" s="73"/>
      <c r="DP66" s="72"/>
      <c r="DQ66" s="73"/>
      <c r="DR66" s="72"/>
      <c r="DS66" s="73"/>
      <c r="DT66" s="72"/>
      <c r="DU66" s="73"/>
      <c r="DV66" s="72"/>
      <c r="DW66" s="73"/>
      <c r="DX66" s="72"/>
      <c r="DY66" s="73"/>
      <c r="DZ66" s="72"/>
      <c r="EA66" s="73"/>
      <c r="EB66" s="72"/>
      <c r="EC66" s="73"/>
    </row>
    <row r="67" spans="2:135" x14ac:dyDescent="0.2">
      <c r="B67" s="72"/>
      <c r="C67" s="73"/>
      <c r="D67" s="72"/>
      <c r="E67" s="73"/>
      <c r="F67" s="72"/>
      <c r="G67" s="73"/>
      <c r="H67" s="72"/>
      <c r="I67" s="73"/>
      <c r="J67" s="72"/>
      <c r="K67" s="73"/>
      <c r="L67" s="72"/>
      <c r="M67" s="73"/>
      <c r="N67" s="72"/>
      <c r="O67" s="73"/>
      <c r="P67" s="72"/>
      <c r="Q67" s="73"/>
      <c r="R67" s="72"/>
      <c r="S67" s="73"/>
      <c r="T67" s="72"/>
      <c r="U67" s="73"/>
      <c r="V67" s="72"/>
      <c r="W67" s="73"/>
      <c r="X67" s="72"/>
      <c r="Y67" s="73"/>
      <c r="Z67" s="72"/>
      <c r="AA67" s="73"/>
      <c r="AB67" s="72"/>
      <c r="AC67" s="73"/>
      <c r="AD67" s="72"/>
      <c r="AE67" s="73"/>
      <c r="AF67" s="72"/>
      <c r="AG67" s="73"/>
      <c r="AH67" s="72"/>
      <c r="AI67" s="73"/>
      <c r="AJ67" s="72"/>
      <c r="AK67" s="73"/>
      <c r="AL67" s="72">
        <v>62</v>
      </c>
      <c r="AM67" s="73">
        <v>12</v>
      </c>
      <c r="AN67" s="72"/>
      <c r="AO67" s="73"/>
      <c r="AP67" s="72"/>
      <c r="AQ67" s="73"/>
      <c r="AR67" s="72"/>
      <c r="AS67" s="73"/>
      <c r="AT67" s="72">
        <v>62</v>
      </c>
      <c r="AU67" s="73">
        <v>12</v>
      </c>
      <c r="AV67" s="72"/>
      <c r="AW67" s="73"/>
      <c r="AX67" s="72"/>
      <c r="AY67" s="73"/>
      <c r="AZ67" s="72"/>
      <c r="BA67" s="73"/>
      <c r="BB67" s="72"/>
      <c r="BC67" s="73"/>
      <c r="BD67" s="72"/>
      <c r="BE67" s="73"/>
      <c r="BF67" s="72"/>
      <c r="BG67" s="73"/>
      <c r="BH67" s="72"/>
      <c r="BI67" s="73"/>
      <c r="BJ67" s="72"/>
      <c r="BK67" s="73"/>
      <c r="BL67" s="72"/>
      <c r="BM67" s="73"/>
      <c r="BN67" s="72"/>
      <c r="BO67" s="73"/>
      <c r="BP67" s="72"/>
      <c r="BQ67" s="73"/>
      <c r="BR67" s="72"/>
      <c r="BS67" s="73"/>
      <c r="BT67" s="72"/>
      <c r="BU67" s="73"/>
      <c r="BV67" s="72"/>
      <c r="BW67" s="73"/>
      <c r="BX67" s="72"/>
      <c r="BY67" s="73"/>
      <c r="BZ67" s="72"/>
      <c r="CA67" s="74"/>
      <c r="CB67" s="75"/>
      <c r="CC67" s="73"/>
      <c r="CD67" s="72"/>
      <c r="CE67" s="73"/>
      <c r="CF67" s="72"/>
      <c r="CG67" s="73"/>
      <c r="CH67" s="72"/>
      <c r="CI67" s="73"/>
      <c r="CJ67" s="72"/>
      <c r="CK67" s="73"/>
      <c r="CL67" s="72"/>
      <c r="CM67" s="73"/>
      <c r="CN67" s="72"/>
      <c r="CO67" s="73"/>
      <c r="CP67" s="72"/>
      <c r="CQ67" s="73"/>
      <c r="CR67" s="72"/>
      <c r="CS67" s="73"/>
      <c r="CT67" s="72"/>
      <c r="CU67" s="73"/>
      <c r="CV67" s="72"/>
      <c r="CW67" s="73"/>
      <c r="CX67" s="72"/>
      <c r="CY67" s="73"/>
      <c r="CZ67" s="72"/>
      <c r="DA67" s="73"/>
      <c r="DB67" s="72"/>
      <c r="DC67" s="73"/>
      <c r="DD67" s="72"/>
      <c r="DE67" s="73"/>
      <c r="DF67" s="72"/>
      <c r="DG67" s="73"/>
      <c r="DH67" s="72"/>
      <c r="DI67" s="73"/>
      <c r="DJ67" s="72"/>
      <c r="DK67" s="73"/>
      <c r="DL67" s="72"/>
      <c r="DM67" s="73"/>
      <c r="DN67" s="72"/>
      <c r="DO67" s="73"/>
      <c r="DP67" s="72"/>
      <c r="DQ67" s="73"/>
      <c r="DR67" s="72"/>
      <c r="DS67" s="73"/>
      <c r="DT67" s="72"/>
      <c r="DU67" s="73"/>
      <c r="DV67" s="72"/>
      <c r="DW67" s="73"/>
      <c r="DX67" s="72"/>
      <c r="DY67" s="73"/>
      <c r="DZ67" s="72"/>
      <c r="EA67" s="73"/>
      <c r="EB67" s="72"/>
      <c r="EC67" s="73"/>
    </row>
    <row r="68" spans="2:135" x14ac:dyDescent="0.2">
      <c r="B68" s="72"/>
      <c r="C68" s="73"/>
      <c r="D68" s="72"/>
      <c r="E68" s="73"/>
      <c r="F68" s="72"/>
      <c r="G68" s="73"/>
      <c r="H68" s="72"/>
      <c r="I68" s="73"/>
      <c r="J68" s="72"/>
      <c r="K68" s="73"/>
      <c r="L68" s="72"/>
      <c r="M68" s="73"/>
      <c r="N68" s="72"/>
      <c r="O68" s="73"/>
      <c r="P68" s="72"/>
      <c r="Q68" s="73"/>
      <c r="R68" s="72"/>
      <c r="S68" s="73"/>
      <c r="T68" s="72"/>
      <c r="U68" s="73"/>
      <c r="V68" s="72"/>
      <c r="W68" s="73"/>
      <c r="X68" s="72"/>
      <c r="Y68" s="73"/>
      <c r="Z68" s="72"/>
      <c r="AA68" s="73"/>
      <c r="AB68" s="72"/>
      <c r="AC68" s="73"/>
      <c r="AD68" s="72"/>
      <c r="AE68" s="73"/>
      <c r="AF68" s="72"/>
      <c r="AG68" s="73"/>
      <c r="AH68" s="72"/>
      <c r="AI68" s="73"/>
      <c r="AJ68" s="72"/>
      <c r="AK68" s="73"/>
      <c r="AL68" s="72">
        <v>63</v>
      </c>
      <c r="AM68" s="73">
        <v>11</v>
      </c>
      <c r="AN68" s="72"/>
      <c r="AO68" s="73"/>
      <c r="AP68" s="72"/>
      <c r="AQ68" s="73"/>
      <c r="AR68" s="72"/>
      <c r="AS68" s="73"/>
      <c r="AT68" s="72">
        <v>63</v>
      </c>
      <c r="AU68" s="73">
        <v>19</v>
      </c>
      <c r="AV68" s="72"/>
      <c r="AW68" s="73"/>
      <c r="AX68" s="72"/>
      <c r="AY68" s="73"/>
      <c r="AZ68" s="72"/>
      <c r="BA68" s="73"/>
      <c r="BB68" s="72"/>
      <c r="BC68" s="73"/>
      <c r="BD68" s="72"/>
      <c r="BE68" s="73"/>
      <c r="BF68" s="72"/>
      <c r="BG68" s="73"/>
      <c r="BH68" s="72"/>
      <c r="BI68" s="73"/>
      <c r="BJ68" s="72"/>
      <c r="BK68" s="73"/>
      <c r="BL68" s="72"/>
      <c r="BM68" s="73"/>
      <c r="BN68" s="72"/>
      <c r="BO68" s="73"/>
      <c r="BP68" s="72"/>
      <c r="BQ68" s="73"/>
      <c r="BR68" s="72"/>
      <c r="BS68" s="73"/>
      <c r="BT68" s="72"/>
      <c r="BU68" s="73"/>
      <c r="BV68" s="72"/>
      <c r="BW68" s="73"/>
      <c r="BX68" s="72"/>
      <c r="BY68" s="73"/>
      <c r="BZ68" s="72"/>
      <c r="CA68" s="74"/>
      <c r="CB68" s="75"/>
      <c r="CC68" s="73"/>
      <c r="CD68" s="72"/>
      <c r="CE68" s="73"/>
      <c r="CF68" s="72"/>
      <c r="CG68" s="73"/>
      <c r="CH68" s="72"/>
      <c r="CI68" s="73"/>
      <c r="CJ68" s="72"/>
      <c r="CK68" s="73"/>
      <c r="CL68" s="72"/>
      <c r="CM68" s="73"/>
      <c r="CN68" s="72"/>
      <c r="CO68" s="73"/>
      <c r="CP68" s="72"/>
      <c r="CQ68" s="73"/>
      <c r="CR68" s="72"/>
      <c r="CS68" s="73"/>
      <c r="CT68" s="72"/>
      <c r="CU68" s="73"/>
      <c r="CV68" s="72"/>
      <c r="CW68" s="73"/>
      <c r="CX68" s="72"/>
      <c r="CY68" s="73"/>
      <c r="CZ68" s="72"/>
      <c r="DA68" s="73"/>
      <c r="DB68" s="72"/>
      <c r="DC68" s="73"/>
      <c r="DD68" s="72"/>
      <c r="DE68" s="73"/>
      <c r="DF68" s="72"/>
      <c r="DG68" s="73"/>
      <c r="DH68" s="72"/>
      <c r="DI68" s="73"/>
      <c r="DJ68" s="72"/>
      <c r="DK68" s="73"/>
      <c r="DL68" s="72"/>
      <c r="DM68" s="73"/>
      <c r="DN68" s="72"/>
      <c r="DO68" s="73"/>
      <c r="DP68" s="72"/>
      <c r="DQ68" s="73"/>
      <c r="DR68" s="72"/>
      <c r="DS68" s="73"/>
      <c r="DT68" s="72"/>
      <c r="DU68" s="73"/>
      <c r="DV68" s="72"/>
      <c r="DW68" s="73"/>
      <c r="DX68" s="72"/>
      <c r="DY68" s="73"/>
      <c r="DZ68" s="72"/>
      <c r="EA68" s="73"/>
      <c r="EB68" s="72"/>
      <c r="EC68" s="73"/>
    </row>
    <row r="69" spans="2:135" x14ac:dyDescent="0.2">
      <c r="B69" s="72"/>
      <c r="C69" s="73"/>
      <c r="D69" s="72"/>
      <c r="E69" s="73"/>
      <c r="F69" s="72"/>
      <c r="G69" s="73"/>
      <c r="H69" s="72"/>
      <c r="I69" s="73"/>
      <c r="J69" s="72"/>
      <c r="K69" s="73"/>
      <c r="L69" s="72"/>
      <c r="M69" s="73"/>
      <c r="N69" s="72"/>
      <c r="O69" s="73"/>
      <c r="P69" s="72"/>
      <c r="Q69" s="73"/>
      <c r="R69" s="72"/>
      <c r="S69" s="73"/>
      <c r="T69" s="72"/>
      <c r="U69" s="73"/>
      <c r="V69" s="72"/>
      <c r="W69" s="73"/>
      <c r="X69" s="72"/>
      <c r="Y69" s="73"/>
      <c r="Z69" s="72"/>
      <c r="AA69" s="73"/>
      <c r="AB69" s="72"/>
      <c r="AC69" s="73"/>
      <c r="AD69" s="72"/>
      <c r="AE69" s="73"/>
      <c r="AF69" s="72"/>
      <c r="AG69" s="73"/>
      <c r="AH69" s="72"/>
      <c r="AI69" s="73"/>
      <c r="AJ69" s="72"/>
      <c r="AK69" s="73"/>
      <c r="AL69" s="72">
        <v>64</v>
      </c>
      <c r="AM69" s="73">
        <v>10</v>
      </c>
      <c r="AN69" s="72"/>
      <c r="AO69" s="73"/>
      <c r="AP69" s="72"/>
      <c r="AQ69" s="73"/>
      <c r="AR69" s="72"/>
      <c r="AS69" s="73"/>
      <c r="AT69" s="72">
        <v>64</v>
      </c>
      <c r="AU69" s="73">
        <v>12</v>
      </c>
      <c r="AV69" s="72"/>
      <c r="AW69" s="73"/>
      <c r="AX69" s="72"/>
      <c r="AY69" s="73"/>
      <c r="AZ69" s="72"/>
      <c r="BA69" s="73"/>
      <c r="BB69" s="72"/>
      <c r="BC69" s="73"/>
      <c r="BD69" s="72"/>
      <c r="BE69" s="73"/>
      <c r="BF69" s="72"/>
      <c r="BG69" s="73"/>
      <c r="BH69" s="72"/>
      <c r="BI69" s="73"/>
      <c r="BJ69" s="72"/>
      <c r="BK69" s="73"/>
      <c r="BL69" s="72"/>
      <c r="BM69" s="73"/>
      <c r="BN69" s="72"/>
      <c r="BO69" s="73"/>
      <c r="BP69" s="72"/>
      <c r="BQ69" s="73"/>
      <c r="BR69" s="72"/>
      <c r="BS69" s="73"/>
      <c r="BT69" s="72"/>
      <c r="BU69" s="73"/>
      <c r="BV69" s="72"/>
      <c r="BW69" s="73"/>
      <c r="BX69" s="72"/>
      <c r="BY69" s="73"/>
      <c r="BZ69" s="72"/>
      <c r="CA69" s="74"/>
      <c r="CB69" s="75"/>
      <c r="CC69" s="73"/>
      <c r="CD69" s="72"/>
      <c r="CE69" s="73"/>
      <c r="CF69" s="72"/>
      <c r="CG69" s="73"/>
      <c r="CH69" s="72"/>
      <c r="CI69" s="73"/>
      <c r="CJ69" s="72"/>
      <c r="CK69" s="73"/>
      <c r="CL69" s="72"/>
      <c r="CM69" s="73"/>
      <c r="CN69" s="72"/>
      <c r="CO69" s="73"/>
      <c r="CP69" s="72"/>
      <c r="CQ69" s="73"/>
      <c r="CR69" s="72"/>
      <c r="CS69" s="73"/>
      <c r="CT69" s="72"/>
      <c r="CU69" s="73"/>
      <c r="CV69" s="72"/>
      <c r="CW69" s="73"/>
      <c r="CX69" s="72"/>
      <c r="CY69" s="73"/>
      <c r="CZ69" s="72"/>
      <c r="DA69" s="73"/>
      <c r="DB69" s="72"/>
      <c r="DC69" s="73"/>
      <c r="DD69" s="72"/>
      <c r="DE69" s="73"/>
      <c r="DF69" s="72"/>
      <c r="DG69" s="73"/>
      <c r="DH69" s="72"/>
      <c r="DI69" s="73"/>
      <c r="DJ69" s="72"/>
      <c r="DK69" s="73"/>
      <c r="DL69" s="72"/>
      <c r="DM69" s="73"/>
      <c r="DN69" s="72"/>
      <c r="DO69" s="73"/>
      <c r="DP69" s="72"/>
      <c r="DQ69" s="73"/>
      <c r="DR69" s="72"/>
      <c r="DS69" s="73"/>
      <c r="DT69" s="72"/>
      <c r="DU69" s="73"/>
      <c r="DV69" s="72"/>
      <c r="DW69" s="73"/>
      <c r="DX69" s="72"/>
      <c r="DY69" s="73"/>
      <c r="DZ69" s="72"/>
      <c r="EA69" s="73"/>
      <c r="EB69" s="72"/>
      <c r="EC69" s="73"/>
    </row>
    <row r="70" spans="2:135" x14ac:dyDescent="0.2">
      <c r="B70" s="72"/>
      <c r="C70" s="73"/>
      <c r="D70" s="72"/>
      <c r="E70" s="73"/>
      <c r="F70" s="72"/>
      <c r="G70" s="73"/>
      <c r="H70" s="72"/>
      <c r="I70" s="73"/>
      <c r="J70" s="72"/>
      <c r="K70" s="73"/>
      <c r="L70" s="72"/>
      <c r="M70" s="73"/>
      <c r="N70" s="72"/>
      <c r="O70" s="73"/>
      <c r="P70" s="72"/>
      <c r="Q70" s="73"/>
      <c r="R70" s="72"/>
      <c r="S70" s="73"/>
      <c r="T70" s="72"/>
      <c r="U70" s="73"/>
      <c r="V70" s="72"/>
      <c r="W70" s="73"/>
      <c r="X70" s="72"/>
      <c r="Y70" s="73"/>
      <c r="Z70" s="72"/>
      <c r="AA70" s="73"/>
      <c r="AB70" s="72"/>
      <c r="AC70" s="73"/>
      <c r="AD70" s="72"/>
      <c r="AE70" s="73"/>
      <c r="AF70" s="72"/>
      <c r="AG70" s="73"/>
      <c r="AH70" s="72"/>
      <c r="AI70" s="73"/>
      <c r="AJ70" s="72"/>
      <c r="AK70" s="73"/>
      <c r="AL70" s="72">
        <v>65</v>
      </c>
      <c r="AM70" s="73">
        <v>13</v>
      </c>
      <c r="AN70" s="72"/>
      <c r="AO70" s="73"/>
      <c r="AP70" s="72"/>
      <c r="AQ70" s="73"/>
      <c r="AR70" s="72"/>
      <c r="AS70" s="73"/>
      <c r="AT70" s="72">
        <v>65</v>
      </c>
      <c r="AU70" s="73">
        <v>25</v>
      </c>
      <c r="AV70" s="72"/>
      <c r="AW70" s="73"/>
      <c r="AX70" s="72"/>
      <c r="AY70" s="73"/>
      <c r="AZ70" s="72"/>
      <c r="BA70" s="73"/>
      <c r="BB70" s="72"/>
      <c r="BC70" s="73"/>
      <c r="BD70" s="72"/>
      <c r="BE70" s="73"/>
      <c r="BF70" s="72"/>
      <c r="BG70" s="73"/>
      <c r="BH70" s="72"/>
      <c r="BI70" s="73"/>
      <c r="BJ70" s="72"/>
      <c r="BK70" s="73"/>
      <c r="BL70" s="72"/>
      <c r="BM70" s="73"/>
      <c r="BN70" s="72"/>
      <c r="BO70" s="73"/>
      <c r="BP70" s="72"/>
      <c r="BQ70" s="73"/>
      <c r="BR70" s="72"/>
      <c r="BS70" s="73"/>
      <c r="BT70" s="72"/>
      <c r="BU70" s="73"/>
      <c r="BV70" s="72"/>
      <c r="BW70" s="73"/>
      <c r="BX70" s="72"/>
      <c r="BY70" s="73"/>
      <c r="BZ70" s="72"/>
      <c r="CA70" s="74"/>
      <c r="CB70" s="75"/>
      <c r="CC70" s="73"/>
      <c r="CD70" s="72"/>
      <c r="CE70" s="73"/>
      <c r="CF70" s="72"/>
      <c r="CG70" s="73"/>
      <c r="CH70" s="72"/>
      <c r="CI70" s="73"/>
      <c r="CJ70" s="72"/>
      <c r="CK70" s="73"/>
      <c r="CL70" s="72"/>
      <c r="CM70" s="73"/>
      <c r="CN70" s="72"/>
      <c r="CO70" s="73"/>
      <c r="CP70" s="72"/>
      <c r="CQ70" s="73"/>
      <c r="CR70" s="72"/>
      <c r="CS70" s="73"/>
      <c r="CT70" s="72"/>
      <c r="CU70" s="73"/>
      <c r="CV70" s="72"/>
      <c r="CW70" s="73"/>
      <c r="CX70" s="72"/>
      <c r="CY70" s="73"/>
      <c r="CZ70" s="72"/>
      <c r="DA70" s="73"/>
      <c r="DB70" s="72"/>
      <c r="DC70" s="73"/>
      <c r="DD70" s="72"/>
      <c r="DE70" s="73"/>
      <c r="DF70" s="72"/>
      <c r="DG70" s="73"/>
      <c r="DH70" s="72"/>
      <c r="DI70" s="73"/>
      <c r="DJ70" s="72"/>
      <c r="DK70" s="73"/>
      <c r="DL70" s="72"/>
      <c r="DM70" s="73"/>
      <c r="DN70" s="72"/>
      <c r="DO70" s="73"/>
      <c r="DP70" s="72"/>
      <c r="DQ70" s="73"/>
      <c r="DR70" s="72"/>
      <c r="DS70" s="73"/>
      <c r="DT70" s="72"/>
      <c r="DU70" s="73"/>
      <c r="DV70" s="72"/>
      <c r="DW70" s="73"/>
      <c r="DX70" s="72"/>
      <c r="DY70" s="73"/>
      <c r="DZ70" s="72"/>
      <c r="EA70" s="73"/>
      <c r="EB70" s="72"/>
      <c r="EC70" s="73"/>
    </row>
    <row r="71" spans="2:135" ht="13.5" thickBot="1" x14ac:dyDescent="0.25">
      <c r="B71" s="72"/>
      <c r="C71" s="73"/>
      <c r="D71" s="72"/>
      <c r="E71" s="73"/>
      <c r="F71" s="72"/>
      <c r="G71" s="73"/>
      <c r="H71" s="72"/>
      <c r="I71" s="73"/>
      <c r="J71" s="72"/>
      <c r="K71" s="73"/>
      <c r="L71" s="72"/>
      <c r="M71" s="73"/>
      <c r="N71" s="72"/>
      <c r="O71" s="73"/>
      <c r="P71" s="72"/>
      <c r="Q71" s="73"/>
      <c r="R71" s="72"/>
      <c r="S71" s="73"/>
      <c r="T71" s="72"/>
      <c r="U71" s="73"/>
      <c r="V71" s="72"/>
      <c r="W71" s="73"/>
      <c r="X71" s="72"/>
      <c r="Y71" s="73"/>
      <c r="Z71" s="72"/>
      <c r="AA71" s="73"/>
      <c r="AB71" s="72"/>
      <c r="AC71" s="73"/>
      <c r="AD71" s="72"/>
      <c r="AE71" s="73"/>
      <c r="AF71" s="72"/>
      <c r="AG71" s="73"/>
      <c r="AH71" s="72"/>
      <c r="AI71" s="73"/>
      <c r="AJ71" s="72"/>
      <c r="AK71" s="73"/>
      <c r="AL71" s="72">
        <v>66</v>
      </c>
      <c r="AM71" s="73">
        <v>20</v>
      </c>
      <c r="AN71" s="72"/>
      <c r="AO71" s="73"/>
      <c r="AP71" s="72"/>
      <c r="AQ71" s="73"/>
      <c r="AR71" s="72"/>
      <c r="AS71" s="73"/>
      <c r="AT71" s="72">
        <v>66</v>
      </c>
      <c r="AU71" s="73">
        <v>24</v>
      </c>
      <c r="AV71" s="72"/>
      <c r="AW71" s="73"/>
      <c r="AX71" s="72"/>
      <c r="AY71" s="73"/>
      <c r="AZ71" s="72"/>
      <c r="BA71" s="73"/>
      <c r="BB71" s="72"/>
      <c r="BC71" s="73"/>
      <c r="BD71" s="72"/>
      <c r="BE71" s="73"/>
      <c r="BF71" s="72"/>
      <c r="BG71" s="73"/>
      <c r="BH71" s="72"/>
      <c r="BI71" s="73"/>
      <c r="BJ71" s="72"/>
      <c r="BK71" s="73"/>
      <c r="BL71" s="72"/>
      <c r="BM71" s="73"/>
      <c r="BN71" s="72"/>
      <c r="BO71" s="73"/>
      <c r="BP71" s="72"/>
      <c r="BQ71" s="73"/>
      <c r="BR71" s="72"/>
      <c r="BS71" s="73"/>
      <c r="BT71" s="72"/>
      <c r="BU71" s="73"/>
      <c r="BV71" s="72"/>
      <c r="BW71" s="73"/>
      <c r="BX71" s="72"/>
      <c r="BY71" s="73"/>
      <c r="BZ71" s="72"/>
      <c r="CA71" s="74"/>
      <c r="CB71" s="75"/>
      <c r="CC71" s="73"/>
      <c r="CD71" s="72"/>
      <c r="CE71" s="73"/>
      <c r="CF71" s="72"/>
      <c r="CG71" s="73"/>
      <c r="CH71" s="72"/>
      <c r="CI71" s="73"/>
      <c r="CJ71" s="72"/>
      <c r="CK71" s="73"/>
      <c r="CL71" s="72"/>
      <c r="CM71" s="73"/>
      <c r="CN71" s="72"/>
      <c r="CO71" s="73"/>
      <c r="CP71" s="72"/>
      <c r="CQ71" s="73"/>
      <c r="CR71" s="72"/>
      <c r="CS71" s="73"/>
      <c r="CT71" s="72"/>
      <c r="CU71" s="73"/>
      <c r="CV71" s="72"/>
      <c r="CW71" s="73"/>
      <c r="CX71" s="72"/>
      <c r="CY71" s="73"/>
      <c r="CZ71" s="72"/>
      <c r="DA71" s="73"/>
      <c r="DB71" s="72"/>
      <c r="DC71" s="73"/>
      <c r="DD71" s="72"/>
      <c r="DE71" s="73"/>
      <c r="DF71" s="72"/>
      <c r="DG71" s="73"/>
      <c r="DH71" s="72"/>
      <c r="DI71" s="73"/>
      <c r="DJ71" s="72"/>
      <c r="DK71" s="73"/>
      <c r="DL71" s="72"/>
      <c r="DM71" s="73"/>
      <c r="DN71" s="72"/>
      <c r="DO71" s="73"/>
      <c r="DP71" s="72"/>
      <c r="DQ71" s="73"/>
      <c r="DR71" s="72"/>
      <c r="DS71" s="73"/>
      <c r="DT71" s="72"/>
      <c r="DU71" s="73"/>
      <c r="DV71" s="72"/>
      <c r="DW71" s="73"/>
      <c r="DX71" s="72"/>
      <c r="DY71" s="73"/>
      <c r="DZ71" s="72"/>
      <c r="EA71" s="73"/>
      <c r="EB71" s="72"/>
      <c r="EC71" s="73"/>
    </row>
    <row r="72" spans="2:135" ht="13.5" thickBot="1" x14ac:dyDescent="0.25">
      <c r="C72" s="76">
        <f>SUM(C6:C71)</f>
        <v>1533</v>
      </c>
      <c r="E72" s="76">
        <f>SUM(E6:E71)</f>
        <v>1213</v>
      </c>
      <c r="G72" s="76">
        <f>SUM(G6:G71)</f>
        <v>859</v>
      </c>
      <c r="I72" s="76">
        <f>SUM(I6:I71)</f>
        <v>1288</v>
      </c>
      <c r="K72" s="76">
        <f>SUM(K6:K71)</f>
        <v>959</v>
      </c>
      <c r="M72" s="76">
        <f>SUM(M6:M71)</f>
        <v>658</v>
      </c>
      <c r="O72" s="76">
        <f>SUM(O6:O71)</f>
        <v>618</v>
      </c>
      <c r="Q72" s="76">
        <f>SUM(Q6:Q71)</f>
        <v>85</v>
      </c>
      <c r="S72" s="76">
        <f>SUM(S6:S71)</f>
        <v>810</v>
      </c>
      <c r="U72" s="76">
        <f>SUM(U6:U71)</f>
        <v>695</v>
      </c>
      <c r="W72" s="76">
        <f>SUM(W6:W71)</f>
        <v>816</v>
      </c>
      <c r="Y72" s="76">
        <f>SUM(Y6:Y71)</f>
        <v>719</v>
      </c>
      <c r="AA72" s="76">
        <f>SUM(AA6:AA71)</f>
        <v>942</v>
      </c>
      <c r="AC72" s="76">
        <f>SUM(AC6:AC71)</f>
        <v>822</v>
      </c>
      <c r="AE72" s="76">
        <f>SUM(AE6:AE71)</f>
        <v>280</v>
      </c>
      <c r="AG72" s="76">
        <f>SUM(AG6:AG71)</f>
        <v>406</v>
      </c>
      <c r="AI72" s="76">
        <f>SUM(AI6:AI71)</f>
        <v>167</v>
      </c>
      <c r="AK72" s="76">
        <f>SUM(AK6:AK71)</f>
        <v>1070</v>
      </c>
      <c r="AL72" s="72">
        <v>67</v>
      </c>
      <c r="AM72" s="73">
        <v>7</v>
      </c>
      <c r="AO72" s="76">
        <f>SUM(AO6:AO71)</f>
        <v>915</v>
      </c>
      <c r="AQ72" s="76">
        <f>SUM(AQ6:AQ71)</f>
        <v>222</v>
      </c>
      <c r="AS72" s="76">
        <f>SUM(AS6:AS71)</f>
        <v>117</v>
      </c>
      <c r="AU72" s="76">
        <f>SUM(AU6:AU71)</f>
        <v>1292</v>
      </c>
      <c r="AW72" s="76">
        <f>SUM(AW6:AW71)</f>
        <v>1364</v>
      </c>
      <c r="AY72" s="76">
        <f>SUM(AY6:AY71)</f>
        <v>154</v>
      </c>
      <c r="BA72" s="76">
        <f>SUM(BA6:BA71)</f>
        <v>1273</v>
      </c>
      <c r="BC72" s="76">
        <f>SUM(BC6:BC71)</f>
        <v>357</v>
      </c>
      <c r="BE72" s="76">
        <f>SUM(BE6:BE71)</f>
        <v>197</v>
      </c>
      <c r="BG72" s="76">
        <f>SUM(BG6:BG71)</f>
        <v>73</v>
      </c>
      <c r="BI72" s="76">
        <f>SUM(BI6:BI71)</f>
        <v>146</v>
      </c>
      <c r="BK72" s="76">
        <f>SUM(BK6:BK71)</f>
        <v>21</v>
      </c>
      <c r="BM72" s="76">
        <f>SUM(BM6:BM71)</f>
        <v>48</v>
      </c>
      <c r="BO72" s="76">
        <f>SUM(BO6:BO71)</f>
        <v>105</v>
      </c>
      <c r="BQ72" s="76">
        <f>SUM(BQ6:BQ71)</f>
        <v>47</v>
      </c>
      <c r="BS72" s="76">
        <f>SUM(BS6:BS71)</f>
        <v>56</v>
      </c>
      <c r="BU72" s="76">
        <f>SUM(BU6:BU71)</f>
        <v>53</v>
      </c>
      <c r="BW72" s="76">
        <f>SUM(BW6:BW71)</f>
        <v>38</v>
      </c>
      <c r="BY72" s="76">
        <f>SUM(BY6:BY71)</f>
        <v>211</v>
      </c>
      <c r="CA72" s="77">
        <f>SUM(CA6:CA71)</f>
        <v>55</v>
      </c>
      <c r="CB72" s="78"/>
      <c r="CC72" s="76">
        <f>SUM(CC6:CC71)</f>
        <v>1071</v>
      </c>
      <c r="CE72" s="76">
        <f>SUM(CE6:CE71)</f>
        <v>678</v>
      </c>
      <c r="CG72" s="76">
        <f>SUM(CG6:CG71)</f>
        <v>1151</v>
      </c>
      <c r="CI72" s="76">
        <f>SUM(CI6:CI71)</f>
        <v>879</v>
      </c>
      <c r="CK72" s="76">
        <f>SUM(CK6:CK71)</f>
        <v>1007</v>
      </c>
      <c r="CM72" s="76">
        <f>SUM(CM6:CM71)</f>
        <v>433</v>
      </c>
      <c r="CO72" s="76">
        <f>SUM(CO6:CO71)</f>
        <v>437</v>
      </c>
      <c r="CQ72" s="76">
        <f>SUM(CQ6:CQ71)</f>
        <v>257</v>
      </c>
      <c r="CS72" s="76">
        <f>SUM(CS6:CS71)</f>
        <v>149</v>
      </c>
      <c r="CU72" s="76">
        <f>SUM(CU6:CU71)</f>
        <v>155</v>
      </c>
      <c r="CW72" s="76">
        <f>SUM(CW6:CW71)</f>
        <v>104</v>
      </c>
      <c r="CY72" s="76">
        <f>SUM(CY6:CY71)</f>
        <v>95</v>
      </c>
      <c r="DA72" s="76">
        <f>SUM(DA6:DA71)</f>
        <v>89</v>
      </c>
      <c r="DC72" s="76">
        <f>SUM(DC6:DC71)</f>
        <v>47</v>
      </c>
      <c r="DE72" s="76">
        <f>SUM(DE6:DE71)</f>
        <v>113</v>
      </c>
      <c r="DG72" s="76">
        <f>SUM(DG6:DG71)</f>
        <v>83</v>
      </c>
      <c r="DI72" s="76">
        <f>SUM(DI6:DI71)</f>
        <v>46</v>
      </c>
      <c r="DK72" s="76">
        <f>SUM(DK6:DK71)</f>
        <v>25</v>
      </c>
      <c r="DM72" s="76">
        <f>SUM(DM6:DM71)</f>
        <v>303</v>
      </c>
      <c r="DO72" s="76">
        <f>SUM(DO6:DO71)</f>
        <v>108</v>
      </c>
      <c r="DQ72" s="76">
        <f>SUM(DQ6:DQ71)</f>
        <v>105</v>
      </c>
      <c r="DS72" s="76">
        <f>SUM(DS6:DS71)</f>
        <v>61</v>
      </c>
      <c r="DU72" s="76">
        <f>SUM(DU6:DU71)</f>
        <v>105</v>
      </c>
      <c r="DW72" s="76">
        <f>SUM(DW6:DW71)</f>
        <v>13</v>
      </c>
      <c r="DY72" s="76">
        <f>SUM(DY6:DY71)</f>
        <v>14</v>
      </c>
      <c r="EA72" s="76">
        <f>SUM(EA6:EA71)</f>
        <v>25</v>
      </c>
      <c r="EC72" s="76">
        <f>SUM(EC6:EC71)</f>
        <v>404</v>
      </c>
      <c r="ED72" s="79">
        <f>SUM(AN72:EC72)+AM156+SUM(C72:AK72)</f>
        <v>31102</v>
      </c>
      <c r="EE72" s="80" t="s">
        <v>128</v>
      </c>
    </row>
    <row r="73" spans="2:135" ht="13.5" thickBot="1" x14ac:dyDescent="0.25">
      <c r="B73" s="76">
        <f>MAX(B6:B71)</f>
        <v>50</v>
      </c>
      <c r="D73" s="76">
        <f>MAX(D6:D71)</f>
        <v>40</v>
      </c>
      <c r="F73" s="76">
        <f>MAX(F6:F71)</f>
        <v>27</v>
      </c>
      <c r="H73" s="76">
        <f>MAX(H6:H71)</f>
        <v>36</v>
      </c>
      <c r="J73" s="76">
        <f>MAX(J6:J71)</f>
        <v>34</v>
      </c>
      <c r="L73" s="76">
        <f>MAX(L6:L71)</f>
        <v>24</v>
      </c>
      <c r="N73" s="76">
        <f>MAX(N6:N71)</f>
        <v>21</v>
      </c>
      <c r="P73" s="76">
        <f>MAX(P6:P71)</f>
        <v>4</v>
      </c>
      <c r="R73" s="76">
        <f>MAX(R6:R71)</f>
        <v>31</v>
      </c>
      <c r="T73" s="76">
        <f>MAX(T6:T71)</f>
        <v>24</v>
      </c>
      <c r="V73" s="76">
        <f>MAX(V6:V71)</f>
        <v>22</v>
      </c>
      <c r="X73" s="76">
        <f>MAX(X6:X71)</f>
        <v>25</v>
      </c>
      <c r="Z73" s="76">
        <f>MAX(Z6:Z71)</f>
        <v>29</v>
      </c>
      <c r="AB73" s="76">
        <f>MAX(AB6:AB71)</f>
        <v>36</v>
      </c>
      <c r="AD73" s="76">
        <f>MAX(AD6:AD71)</f>
        <v>10</v>
      </c>
      <c r="AF73" s="76">
        <f>MAX(AF6:AF71)</f>
        <v>13</v>
      </c>
      <c r="AH73" s="76">
        <f>MAX(AH6:AH71)</f>
        <v>10</v>
      </c>
      <c r="AJ73" s="76">
        <f>MAX(AJ6:AJ71)</f>
        <v>42</v>
      </c>
      <c r="AK73" s="76">
        <v>150</v>
      </c>
      <c r="AL73" s="72">
        <v>68</v>
      </c>
      <c r="AM73" s="73">
        <v>35</v>
      </c>
      <c r="AN73" s="76">
        <f>MAX(AN6:AN71)</f>
        <v>31</v>
      </c>
      <c r="AP73" s="76">
        <f>MAX(AP6:AP71)</f>
        <v>12</v>
      </c>
      <c r="AR73" s="76">
        <f>MAX(AR6:AR71)</f>
        <v>8</v>
      </c>
      <c r="AT73" s="76">
        <f>MAX(AT6:AT71)</f>
        <v>66</v>
      </c>
      <c r="AV73" s="76">
        <f>MAX(AV6:AV71)</f>
        <v>52</v>
      </c>
      <c r="AX73" s="76">
        <f>MAX(AX6:AX71)</f>
        <v>5</v>
      </c>
      <c r="AZ73" s="76">
        <f>MAX(AZ6:AZ71)</f>
        <v>48</v>
      </c>
      <c r="BB73" s="76">
        <f>MAX(BB6:BB71)</f>
        <v>12</v>
      </c>
      <c r="BD73" s="76">
        <f>MAX(BD6:BD71)</f>
        <v>14</v>
      </c>
      <c r="BF73" s="76">
        <f>MAX(BF6:BF71)</f>
        <v>3</v>
      </c>
      <c r="BH73" s="76">
        <f>MAX(BH6:BH71)</f>
        <v>9</v>
      </c>
      <c r="BJ73" s="76">
        <f>MAX(BJ6:BJ71)</f>
        <v>1</v>
      </c>
      <c r="BL73" s="76">
        <f>MAX(BL6:BL71)</f>
        <v>4</v>
      </c>
      <c r="BN73" s="76">
        <f>MAX(BN6:BN71)</f>
        <v>7</v>
      </c>
      <c r="BP73" s="76">
        <f>MAX(BP6:BP71)</f>
        <v>3</v>
      </c>
      <c r="BR73" s="76">
        <f>MAX(BR6:BR71)</f>
        <v>3</v>
      </c>
      <c r="BT73" s="76">
        <f>MAX(BT6:BT71)</f>
        <v>3</v>
      </c>
      <c r="BV73" s="76">
        <f>MAX(BV6:BV71)</f>
        <v>2</v>
      </c>
      <c r="BX73" s="76">
        <f>MAX(BX6:BX71)</f>
        <v>14</v>
      </c>
      <c r="BZ73" s="76">
        <f>MAX(BZ6:BZ71)</f>
        <v>4</v>
      </c>
      <c r="CB73" s="81">
        <f>MAX(CB6:CB71)</f>
        <v>28</v>
      </c>
      <c r="CC73" s="82"/>
      <c r="CD73" s="76">
        <f>MAX(CD6:CD71)</f>
        <v>16</v>
      </c>
      <c r="CF73" s="76">
        <f>MAX(CF6:CF71)</f>
        <v>24</v>
      </c>
      <c r="CH73" s="76">
        <f>MAX(CH6:CH71)</f>
        <v>21</v>
      </c>
      <c r="CJ73" s="76">
        <f>MAX(CJ6:CJ71)</f>
        <v>28</v>
      </c>
      <c r="CL73" s="76">
        <f>MAX(CL6:CL71)</f>
        <v>16</v>
      </c>
      <c r="CN73" s="76">
        <f>MAX(CN6:CN71)</f>
        <v>16</v>
      </c>
      <c r="CP73" s="76">
        <f>MAX(CP6:CP71)</f>
        <v>13</v>
      </c>
      <c r="CR73" s="76">
        <f>MAX(CR6:CR71)</f>
        <v>6</v>
      </c>
      <c r="CT73" s="76">
        <f>MAX(CT6:CT71)</f>
        <v>6</v>
      </c>
      <c r="CV73" s="76">
        <f>MAX(CV6:CV71)</f>
        <v>4</v>
      </c>
      <c r="CX73" s="76">
        <f>MAX(CX6:CX71)</f>
        <v>4</v>
      </c>
      <c r="CZ73" s="76">
        <f>MAX(CZ6:CZ71)</f>
        <v>5</v>
      </c>
      <c r="DB73" s="76">
        <f>MAX(DB6:DB71)</f>
        <v>3</v>
      </c>
      <c r="DD73" s="76">
        <f>MAX(DD6:DD71)</f>
        <v>6</v>
      </c>
      <c r="DF73" s="76">
        <f>MAX(DF6:DF71)</f>
        <v>4</v>
      </c>
      <c r="DH73" s="76">
        <f>MAX(DH6:DH71)</f>
        <v>3</v>
      </c>
      <c r="DJ73" s="76">
        <f>MAX(DJ6:DJ71)</f>
        <v>1</v>
      </c>
      <c r="DL73" s="76">
        <f>MAX(DL6:DL71)</f>
        <v>13</v>
      </c>
      <c r="DN73" s="76">
        <f>MAX(DN6:DN71)</f>
        <v>5</v>
      </c>
      <c r="DP73" s="76">
        <f>MAX(DP6:DP71)</f>
        <v>5</v>
      </c>
      <c r="DR73" s="76">
        <f>MAX(DR6:DR71)</f>
        <v>3</v>
      </c>
      <c r="DT73" s="76">
        <f>MAX(DT6:DT71)</f>
        <v>5</v>
      </c>
      <c r="DV73" s="76">
        <f>MAX(DV6:DV71)</f>
        <v>1</v>
      </c>
      <c r="DX73" s="76">
        <f>MAX(DX6:DX71)</f>
        <v>1</v>
      </c>
      <c r="DZ73" s="76">
        <f>MAX(DZ6:DZ71)</f>
        <v>1</v>
      </c>
      <c r="EB73" s="76">
        <f>MAX(EB6:EB71)</f>
        <v>22</v>
      </c>
      <c r="ED73" s="79">
        <f>SUM(B73:EC73)-AM73-AL73</f>
        <v>1189</v>
      </c>
      <c r="EE73" s="80" t="s">
        <v>129</v>
      </c>
    </row>
    <row r="74" spans="2:135" ht="13.5" thickBot="1" x14ac:dyDescent="0.25">
      <c r="AL74" s="72">
        <v>69</v>
      </c>
      <c r="AM74" s="73">
        <v>36</v>
      </c>
      <c r="ED74" s="79">
        <f>SUM(B73:BZ73)-AL73-AM73</f>
        <v>929</v>
      </c>
      <c r="EE74" s="80" t="s">
        <v>130</v>
      </c>
    </row>
    <row r="75" spans="2:135" ht="15.75" thickBot="1" x14ac:dyDescent="0.3">
      <c r="B75" s="637" t="s">
        <v>131</v>
      </c>
      <c r="C75" s="638"/>
      <c r="D75" s="638"/>
      <c r="E75" s="639"/>
      <c r="F75" s="639"/>
      <c r="G75" s="640"/>
      <c r="AL75" s="72">
        <v>70</v>
      </c>
      <c r="AM75" s="73">
        <v>5</v>
      </c>
      <c r="ED75" s="79">
        <f>SUM(CB73:EB73)</f>
        <v>260</v>
      </c>
      <c r="EE75" s="80" t="s">
        <v>132</v>
      </c>
    </row>
    <row r="76" spans="2:135" x14ac:dyDescent="0.2">
      <c r="B76" s="641" t="s">
        <v>133</v>
      </c>
      <c r="C76" s="642"/>
      <c r="D76" s="642"/>
      <c r="E76" s="643"/>
      <c r="F76" s="644">
        <v>23145</v>
      </c>
      <c r="G76" s="645"/>
      <c r="AL76" s="72">
        <v>71</v>
      </c>
      <c r="AM76" s="73">
        <v>24</v>
      </c>
    </row>
    <row r="77" spans="2:135" x14ac:dyDescent="0.2">
      <c r="B77" s="646" t="s">
        <v>134</v>
      </c>
      <c r="C77" s="633"/>
      <c r="D77" s="633"/>
      <c r="E77" s="634"/>
      <c r="F77" s="635">
        <v>7957</v>
      </c>
      <c r="G77" s="636"/>
      <c r="AL77" s="72">
        <v>72</v>
      </c>
      <c r="AM77" s="73">
        <v>20</v>
      </c>
    </row>
    <row r="78" spans="2:135" x14ac:dyDescent="0.2">
      <c r="B78" s="632" t="str">
        <f>EE72</f>
        <v>Verses in Bible</v>
      </c>
      <c r="C78" s="633"/>
      <c r="D78" s="633"/>
      <c r="E78" s="634"/>
      <c r="F78" s="635">
        <f>ED72</f>
        <v>31102</v>
      </c>
      <c r="G78" s="636"/>
      <c r="AL78" s="72">
        <v>73</v>
      </c>
      <c r="AM78" s="73">
        <v>28</v>
      </c>
    </row>
    <row r="79" spans="2:135" x14ac:dyDescent="0.2">
      <c r="B79" s="632" t="str">
        <f>EE74</f>
        <v>Chapters in OT</v>
      </c>
      <c r="C79" s="633"/>
      <c r="D79" s="633"/>
      <c r="E79" s="634"/>
      <c r="F79" s="635">
        <f>ED74</f>
        <v>929</v>
      </c>
      <c r="G79" s="636"/>
      <c r="AL79" s="72">
        <v>74</v>
      </c>
      <c r="AM79" s="73">
        <v>23</v>
      </c>
    </row>
    <row r="80" spans="2:135" x14ac:dyDescent="0.2">
      <c r="B80" s="632" t="str">
        <f>EE75</f>
        <v>Chapters in NT</v>
      </c>
      <c r="C80" s="633"/>
      <c r="D80" s="633"/>
      <c r="E80" s="634"/>
      <c r="F80" s="635">
        <f>ED75</f>
        <v>260</v>
      </c>
      <c r="G80" s="636"/>
      <c r="AL80" s="72">
        <v>75</v>
      </c>
      <c r="AM80" s="73">
        <v>10</v>
      </c>
    </row>
    <row r="81" spans="2:39" ht="13.5" thickBot="1" x14ac:dyDescent="0.25">
      <c r="B81" s="649" t="str">
        <f>EE73</f>
        <v>Chapters in Bible</v>
      </c>
      <c r="C81" s="650"/>
      <c r="D81" s="650"/>
      <c r="E81" s="651"/>
      <c r="F81" s="652">
        <f>ED73</f>
        <v>1189</v>
      </c>
      <c r="G81" s="653"/>
      <c r="AL81" s="72">
        <v>76</v>
      </c>
      <c r="AM81" s="73">
        <v>12</v>
      </c>
    </row>
    <row r="82" spans="2:39" ht="13.5" thickBot="1" x14ac:dyDescent="0.25">
      <c r="B82" s="647"/>
      <c r="C82" s="647"/>
      <c r="D82" s="647"/>
      <c r="E82" s="648"/>
      <c r="AL82" s="72">
        <v>77</v>
      </c>
      <c r="AM82" s="73">
        <v>20</v>
      </c>
    </row>
    <row r="83" spans="2:39" ht="19.5" thickBot="1" x14ac:dyDescent="0.35">
      <c r="B83" s="618" t="s">
        <v>135</v>
      </c>
      <c r="C83" s="619"/>
      <c r="D83" s="619"/>
      <c r="E83" s="619"/>
      <c r="F83" s="620"/>
      <c r="AL83" s="72">
        <v>78</v>
      </c>
      <c r="AM83" s="73">
        <v>72</v>
      </c>
    </row>
    <row r="84" spans="2:39" x14ac:dyDescent="0.2">
      <c r="AL84" s="72">
        <v>79</v>
      </c>
      <c r="AM84" s="73">
        <v>13</v>
      </c>
    </row>
    <row r="85" spans="2:39" x14ac:dyDescent="0.2">
      <c r="AL85" s="72">
        <v>80</v>
      </c>
      <c r="AM85" s="73">
        <v>19</v>
      </c>
    </row>
    <row r="86" spans="2:39" x14ac:dyDescent="0.2">
      <c r="AL86" s="72">
        <v>81</v>
      </c>
      <c r="AM86" s="73">
        <v>16</v>
      </c>
    </row>
    <row r="87" spans="2:39" x14ac:dyDescent="0.2">
      <c r="AL87" s="72">
        <v>82</v>
      </c>
      <c r="AM87" s="73">
        <v>8</v>
      </c>
    </row>
    <row r="88" spans="2:39" x14ac:dyDescent="0.2">
      <c r="AL88" s="72">
        <v>83</v>
      </c>
      <c r="AM88" s="73">
        <v>18</v>
      </c>
    </row>
    <row r="89" spans="2:39" x14ac:dyDescent="0.2">
      <c r="AL89" s="72">
        <v>84</v>
      </c>
      <c r="AM89" s="73">
        <v>12</v>
      </c>
    </row>
    <row r="90" spans="2:39" x14ac:dyDescent="0.2">
      <c r="AL90" s="72">
        <v>85</v>
      </c>
      <c r="AM90" s="73">
        <v>13</v>
      </c>
    </row>
    <row r="91" spans="2:39" x14ac:dyDescent="0.2">
      <c r="AL91" s="72">
        <v>86</v>
      </c>
      <c r="AM91" s="73">
        <v>17</v>
      </c>
    </row>
    <row r="92" spans="2:39" x14ac:dyDescent="0.2">
      <c r="AL92" s="72">
        <v>87</v>
      </c>
      <c r="AM92" s="73">
        <v>7</v>
      </c>
    </row>
    <row r="93" spans="2:39" x14ac:dyDescent="0.2">
      <c r="AL93" s="72">
        <v>88</v>
      </c>
      <c r="AM93" s="73">
        <v>18</v>
      </c>
    </row>
    <row r="94" spans="2:39" x14ac:dyDescent="0.2">
      <c r="AL94" s="72">
        <v>89</v>
      </c>
      <c r="AM94" s="73">
        <v>52</v>
      </c>
    </row>
    <row r="95" spans="2:39" x14ac:dyDescent="0.2">
      <c r="AL95" s="72">
        <v>90</v>
      </c>
      <c r="AM95" s="73">
        <v>17</v>
      </c>
    </row>
    <row r="96" spans="2:39" x14ac:dyDescent="0.2">
      <c r="AL96" s="72">
        <v>91</v>
      </c>
      <c r="AM96" s="73">
        <v>16</v>
      </c>
    </row>
    <row r="97" spans="38:39" x14ac:dyDescent="0.2">
      <c r="AL97" s="72">
        <v>92</v>
      </c>
      <c r="AM97" s="73">
        <v>15</v>
      </c>
    </row>
    <row r="98" spans="38:39" x14ac:dyDescent="0.2">
      <c r="AL98" s="72">
        <v>93</v>
      </c>
      <c r="AM98" s="73">
        <v>5</v>
      </c>
    </row>
    <row r="99" spans="38:39" x14ac:dyDescent="0.2">
      <c r="AL99" s="72">
        <v>94</v>
      </c>
      <c r="AM99" s="73">
        <v>23</v>
      </c>
    </row>
    <row r="100" spans="38:39" x14ac:dyDescent="0.2">
      <c r="AL100" s="72">
        <v>95</v>
      </c>
      <c r="AM100" s="73">
        <v>11</v>
      </c>
    </row>
    <row r="101" spans="38:39" x14ac:dyDescent="0.2">
      <c r="AL101" s="72">
        <v>96</v>
      </c>
      <c r="AM101" s="73">
        <v>13</v>
      </c>
    </row>
    <row r="102" spans="38:39" x14ac:dyDescent="0.2">
      <c r="AL102" s="72">
        <v>97</v>
      </c>
      <c r="AM102" s="73">
        <v>12</v>
      </c>
    </row>
    <row r="103" spans="38:39" x14ac:dyDescent="0.2">
      <c r="AL103" s="72">
        <v>98</v>
      </c>
      <c r="AM103" s="73">
        <v>9</v>
      </c>
    </row>
    <row r="104" spans="38:39" x14ac:dyDescent="0.2">
      <c r="AL104" s="72">
        <v>99</v>
      </c>
      <c r="AM104" s="73">
        <v>9</v>
      </c>
    </row>
    <row r="105" spans="38:39" x14ac:dyDescent="0.2">
      <c r="AL105" s="72">
        <v>100</v>
      </c>
      <c r="AM105" s="73">
        <v>5</v>
      </c>
    </row>
    <row r="106" spans="38:39" x14ac:dyDescent="0.2">
      <c r="AL106" s="72">
        <v>101</v>
      </c>
      <c r="AM106" s="73">
        <v>8</v>
      </c>
    </row>
    <row r="107" spans="38:39" x14ac:dyDescent="0.2">
      <c r="AL107" s="72">
        <v>102</v>
      </c>
      <c r="AM107" s="73">
        <v>28</v>
      </c>
    </row>
    <row r="108" spans="38:39" x14ac:dyDescent="0.2">
      <c r="AL108" s="72">
        <v>103</v>
      </c>
      <c r="AM108" s="73">
        <v>22</v>
      </c>
    </row>
    <row r="109" spans="38:39" x14ac:dyDescent="0.2">
      <c r="AL109" s="72">
        <v>104</v>
      </c>
      <c r="AM109" s="73">
        <v>35</v>
      </c>
    </row>
    <row r="110" spans="38:39" x14ac:dyDescent="0.2">
      <c r="AL110" s="72">
        <v>105</v>
      </c>
      <c r="AM110" s="73">
        <v>45</v>
      </c>
    </row>
    <row r="111" spans="38:39" x14ac:dyDescent="0.2">
      <c r="AL111" s="72">
        <v>106</v>
      </c>
      <c r="AM111" s="73">
        <v>48</v>
      </c>
    </row>
    <row r="112" spans="38:39" x14ac:dyDescent="0.2">
      <c r="AL112" s="72">
        <v>107</v>
      </c>
      <c r="AM112" s="73">
        <v>43</v>
      </c>
    </row>
    <row r="113" spans="38:39" x14ac:dyDescent="0.2">
      <c r="AL113" s="72">
        <v>108</v>
      </c>
      <c r="AM113" s="73">
        <v>13</v>
      </c>
    </row>
    <row r="114" spans="38:39" x14ac:dyDescent="0.2">
      <c r="AL114" s="72">
        <v>109</v>
      </c>
      <c r="AM114" s="73">
        <v>31</v>
      </c>
    </row>
    <row r="115" spans="38:39" x14ac:dyDescent="0.2">
      <c r="AL115" s="72">
        <v>110</v>
      </c>
      <c r="AM115" s="73">
        <v>7</v>
      </c>
    </row>
    <row r="116" spans="38:39" x14ac:dyDescent="0.2">
      <c r="AL116" s="72">
        <v>111</v>
      </c>
      <c r="AM116" s="73">
        <v>10</v>
      </c>
    </row>
    <row r="117" spans="38:39" x14ac:dyDescent="0.2">
      <c r="AL117" s="72">
        <v>112</v>
      </c>
      <c r="AM117" s="73">
        <v>10</v>
      </c>
    </row>
    <row r="118" spans="38:39" x14ac:dyDescent="0.2">
      <c r="AL118" s="72">
        <v>113</v>
      </c>
      <c r="AM118" s="73">
        <v>9</v>
      </c>
    </row>
    <row r="119" spans="38:39" x14ac:dyDescent="0.2">
      <c r="AL119" s="72">
        <v>114</v>
      </c>
      <c r="AM119" s="73">
        <v>8</v>
      </c>
    </row>
    <row r="120" spans="38:39" x14ac:dyDescent="0.2">
      <c r="AL120" s="72">
        <v>115</v>
      </c>
      <c r="AM120" s="73">
        <v>18</v>
      </c>
    </row>
    <row r="121" spans="38:39" x14ac:dyDescent="0.2">
      <c r="AL121" s="72">
        <v>116</v>
      </c>
      <c r="AM121" s="73">
        <v>19</v>
      </c>
    </row>
    <row r="122" spans="38:39" x14ac:dyDescent="0.2">
      <c r="AL122" s="72">
        <v>117</v>
      </c>
      <c r="AM122" s="73">
        <v>2</v>
      </c>
    </row>
    <row r="123" spans="38:39" x14ac:dyDescent="0.2">
      <c r="AL123" s="72">
        <v>118</v>
      </c>
      <c r="AM123" s="73">
        <v>29</v>
      </c>
    </row>
    <row r="124" spans="38:39" x14ac:dyDescent="0.2">
      <c r="AL124" s="72">
        <v>119</v>
      </c>
      <c r="AM124" s="73">
        <v>176</v>
      </c>
    </row>
    <row r="125" spans="38:39" x14ac:dyDescent="0.2">
      <c r="AL125" s="72">
        <v>120</v>
      </c>
      <c r="AM125" s="73">
        <v>7</v>
      </c>
    </row>
    <row r="126" spans="38:39" x14ac:dyDescent="0.2">
      <c r="AL126" s="72">
        <v>121</v>
      </c>
      <c r="AM126" s="73">
        <v>8</v>
      </c>
    </row>
    <row r="127" spans="38:39" x14ac:dyDescent="0.2">
      <c r="AL127" s="72">
        <v>122</v>
      </c>
      <c r="AM127" s="73">
        <v>9</v>
      </c>
    </row>
    <row r="128" spans="38:39" x14ac:dyDescent="0.2">
      <c r="AL128" s="72">
        <v>123</v>
      </c>
      <c r="AM128" s="73">
        <v>4</v>
      </c>
    </row>
    <row r="129" spans="38:39" x14ac:dyDescent="0.2">
      <c r="AL129" s="72">
        <v>124</v>
      </c>
      <c r="AM129" s="73">
        <v>8</v>
      </c>
    </row>
    <row r="130" spans="38:39" x14ac:dyDescent="0.2">
      <c r="AL130" s="72">
        <v>125</v>
      </c>
      <c r="AM130" s="73">
        <v>5</v>
      </c>
    </row>
    <row r="131" spans="38:39" x14ac:dyDescent="0.2">
      <c r="AL131" s="72">
        <v>126</v>
      </c>
      <c r="AM131" s="73">
        <v>6</v>
      </c>
    </row>
    <row r="132" spans="38:39" x14ac:dyDescent="0.2">
      <c r="AL132" s="72">
        <v>127</v>
      </c>
      <c r="AM132" s="73">
        <v>5</v>
      </c>
    </row>
    <row r="133" spans="38:39" x14ac:dyDescent="0.2">
      <c r="AL133" s="72">
        <v>128</v>
      </c>
      <c r="AM133" s="73">
        <v>6</v>
      </c>
    </row>
    <row r="134" spans="38:39" x14ac:dyDescent="0.2">
      <c r="AL134" s="72">
        <v>129</v>
      </c>
      <c r="AM134" s="73">
        <v>8</v>
      </c>
    </row>
    <row r="135" spans="38:39" x14ac:dyDescent="0.2">
      <c r="AL135" s="72">
        <v>130</v>
      </c>
      <c r="AM135" s="73">
        <v>8</v>
      </c>
    </row>
    <row r="136" spans="38:39" x14ac:dyDescent="0.2">
      <c r="AL136" s="72">
        <v>131</v>
      </c>
      <c r="AM136" s="73">
        <v>3</v>
      </c>
    </row>
    <row r="137" spans="38:39" x14ac:dyDescent="0.2">
      <c r="AL137" s="72">
        <v>132</v>
      </c>
      <c r="AM137" s="73">
        <v>18</v>
      </c>
    </row>
    <row r="138" spans="38:39" x14ac:dyDescent="0.2">
      <c r="AL138" s="72">
        <v>133</v>
      </c>
      <c r="AM138" s="73">
        <v>3</v>
      </c>
    </row>
    <row r="139" spans="38:39" x14ac:dyDescent="0.2">
      <c r="AL139" s="72">
        <v>134</v>
      </c>
      <c r="AM139" s="73">
        <v>3</v>
      </c>
    </row>
    <row r="140" spans="38:39" x14ac:dyDescent="0.2">
      <c r="AL140" s="72">
        <v>135</v>
      </c>
      <c r="AM140" s="73">
        <v>21</v>
      </c>
    </row>
    <row r="141" spans="38:39" x14ac:dyDescent="0.2">
      <c r="AL141" s="72">
        <v>136</v>
      </c>
      <c r="AM141" s="73">
        <v>26</v>
      </c>
    </row>
    <row r="142" spans="38:39" x14ac:dyDescent="0.2">
      <c r="AL142" s="72">
        <v>137</v>
      </c>
      <c r="AM142" s="73">
        <v>9</v>
      </c>
    </row>
    <row r="143" spans="38:39" x14ac:dyDescent="0.2">
      <c r="AL143" s="72">
        <v>138</v>
      </c>
      <c r="AM143" s="73">
        <v>8</v>
      </c>
    </row>
    <row r="144" spans="38:39" x14ac:dyDescent="0.2">
      <c r="AL144" s="72">
        <v>139</v>
      </c>
      <c r="AM144" s="73">
        <v>24</v>
      </c>
    </row>
    <row r="145" spans="38:39" x14ac:dyDescent="0.2">
      <c r="AL145" s="72">
        <v>140</v>
      </c>
      <c r="AM145" s="73">
        <v>13</v>
      </c>
    </row>
    <row r="146" spans="38:39" x14ac:dyDescent="0.2">
      <c r="AL146" s="72">
        <v>141</v>
      </c>
      <c r="AM146" s="73">
        <v>10</v>
      </c>
    </row>
    <row r="147" spans="38:39" x14ac:dyDescent="0.2">
      <c r="AL147" s="72">
        <v>142</v>
      </c>
      <c r="AM147" s="73">
        <v>7</v>
      </c>
    </row>
    <row r="148" spans="38:39" x14ac:dyDescent="0.2">
      <c r="AL148" s="72">
        <v>143</v>
      </c>
      <c r="AM148" s="73">
        <v>12</v>
      </c>
    </row>
    <row r="149" spans="38:39" x14ac:dyDescent="0.2">
      <c r="AL149" s="72">
        <v>144</v>
      </c>
      <c r="AM149" s="73">
        <v>15</v>
      </c>
    </row>
    <row r="150" spans="38:39" x14ac:dyDescent="0.2">
      <c r="AL150" s="72">
        <v>145</v>
      </c>
      <c r="AM150" s="73">
        <v>21</v>
      </c>
    </row>
    <row r="151" spans="38:39" x14ac:dyDescent="0.2">
      <c r="AL151" s="72">
        <v>146</v>
      </c>
      <c r="AM151" s="73">
        <v>10</v>
      </c>
    </row>
    <row r="152" spans="38:39" x14ac:dyDescent="0.2">
      <c r="AL152" s="72">
        <v>147</v>
      </c>
      <c r="AM152" s="73">
        <v>20</v>
      </c>
    </row>
    <row r="153" spans="38:39" x14ac:dyDescent="0.2">
      <c r="AL153" s="72">
        <v>148</v>
      </c>
      <c r="AM153" s="73">
        <v>14</v>
      </c>
    </row>
    <row r="154" spans="38:39" x14ac:dyDescent="0.2">
      <c r="AL154" s="72">
        <v>149</v>
      </c>
      <c r="AM154" s="73">
        <v>9</v>
      </c>
    </row>
    <row r="155" spans="38:39" ht="13.5" thickBot="1" x14ac:dyDescent="0.25">
      <c r="AL155" s="72">
        <v>150</v>
      </c>
      <c r="AM155" s="73">
        <v>6</v>
      </c>
    </row>
    <row r="156" spans="38:39" ht="13.5" thickBot="1" x14ac:dyDescent="0.25">
      <c r="AM156" s="76">
        <f>SUM(AM6:AM155)</f>
        <v>2461</v>
      </c>
    </row>
  </sheetData>
  <mergeCells count="87">
    <mergeCell ref="B82:E82"/>
    <mergeCell ref="B83:F83"/>
    <mergeCell ref="B79:E79"/>
    <mergeCell ref="F79:G79"/>
    <mergeCell ref="B80:E80"/>
    <mergeCell ref="F80:G80"/>
    <mergeCell ref="B81:E81"/>
    <mergeCell ref="F81:G81"/>
    <mergeCell ref="B75:G75"/>
    <mergeCell ref="B76:E76"/>
    <mergeCell ref="F76:G76"/>
    <mergeCell ref="B77:E77"/>
    <mergeCell ref="F77:G77"/>
    <mergeCell ref="B78:E78"/>
    <mergeCell ref="F78:G78"/>
    <mergeCell ref="DR5:DS5"/>
    <mergeCell ref="DT5:DU5"/>
    <mergeCell ref="DV5:DW5"/>
    <mergeCell ref="CT5:CU5"/>
    <mergeCell ref="CV5:CW5"/>
    <mergeCell ref="CX5:CY5"/>
    <mergeCell ref="CZ5:DA5"/>
    <mergeCell ref="DB5:DC5"/>
    <mergeCell ref="DD5:DE5"/>
    <mergeCell ref="CH5:CI5"/>
    <mergeCell ref="CJ5:CK5"/>
    <mergeCell ref="CL5:CM5"/>
    <mergeCell ref="CN5:CO5"/>
    <mergeCell ref="CP5:CQ5"/>
    <mergeCell ref="DX5:DY5"/>
    <mergeCell ref="DZ5:EA5"/>
    <mergeCell ref="EB5:EC5"/>
    <mergeCell ref="DF5:DG5"/>
    <mergeCell ref="DH5:DI5"/>
    <mergeCell ref="DJ5:DK5"/>
    <mergeCell ref="DL5:DM5"/>
    <mergeCell ref="DN5:DO5"/>
    <mergeCell ref="DP5:DQ5"/>
    <mergeCell ref="CR5:CS5"/>
    <mergeCell ref="BV5:BW5"/>
    <mergeCell ref="BX5:BY5"/>
    <mergeCell ref="BZ5:CA5"/>
    <mergeCell ref="CB5:CC5"/>
    <mergeCell ref="CD5:CE5"/>
    <mergeCell ref="CF5:CG5"/>
    <mergeCell ref="BT5:BU5"/>
    <mergeCell ref="AX5:AY5"/>
    <mergeCell ref="AZ5:BA5"/>
    <mergeCell ref="BB5:BC5"/>
    <mergeCell ref="BD5:BE5"/>
    <mergeCell ref="BF5:BG5"/>
    <mergeCell ref="BH5:BI5"/>
    <mergeCell ref="BJ5:BK5"/>
    <mergeCell ref="BL5:BM5"/>
    <mergeCell ref="BN5:BO5"/>
    <mergeCell ref="BP5:BQ5"/>
    <mergeCell ref="BR5:BS5"/>
    <mergeCell ref="AV5:AW5"/>
    <mergeCell ref="Z5:AA5"/>
    <mergeCell ref="AB5:AC5"/>
    <mergeCell ref="AD5:AE5"/>
    <mergeCell ref="AF5:AG5"/>
    <mergeCell ref="AH5:AI5"/>
    <mergeCell ref="AJ5:AK5"/>
    <mergeCell ref="AL5:AM5"/>
    <mergeCell ref="AN5:AO5"/>
    <mergeCell ref="AP5:AQ5"/>
    <mergeCell ref="AR5:AS5"/>
    <mergeCell ref="AT5:AU5"/>
    <mergeCell ref="X5:Y5"/>
    <mergeCell ref="B5:C5"/>
    <mergeCell ref="D5:E5"/>
    <mergeCell ref="F5:G5"/>
    <mergeCell ref="H5:I5"/>
    <mergeCell ref="J5:K5"/>
    <mergeCell ref="L5:M5"/>
    <mergeCell ref="N5:O5"/>
    <mergeCell ref="P5:Q5"/>
    <mergeCell ref="R5:S5"/>
    <mergeCell ref="T5:U5"/>
    <mergeCell ref="V5:W5"/>
    <mergeCell ref="CB3:CF3"/>
    <mergeCell ref="B2:AB2"/>
    <mergeCell ref="B3:F3"/>
    <mergeCell ref="H3:L3"/>
    <mergeCell ref="N3:O3"/>
    <mergeCell ref="P3:AB3"/>
  </mergeCells>
  <hyperlinks>
    <hyperlink ref="P3" r:id="rId1"/>
    <hyperlink ref="B3:F3" location="'Verses per Chapter'!B90" display="Click to Summary"/>
    <hyperlink ref="H3:L3" location="'Verses per Chapter'!CV5" display="Click for Matthew"/>
    <hyperlink ref="CB3:CF3" location="'Verses per Chapter'!B5" display="Click to Genesis"/>
    <hyperlink ref="B83:F83" location="'Verses per Chapter'!B6" display="Click to Top"/>
  </hyperlinks>
  <pageMargins left="0.7" right="0.7" top="0.75" bottom="0.75" header="0.3" footer="0.3"/>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3</vt:i4>
      </vt:variant>
    </vt:vector>
  </HeadingPairs>
  <TitlesOfParts>
    <vt:vector size="7" baseType="lpstr">
      <vt:lpstr>Planning</vt:lpstr>
      <vt:lpstr>Progress</vt:lpstr>
      <vt:lpstr>Examples</vt:lpstr>
      <vt:lpstr>Verses per Chapter</vt:lpstr>
      <vt:lpstr>GraphScrollValue</vt:lpstr>
      <vt:lpstr>PlannedOtherDays</vt:lpstr>
      <vt:lpstr>PlannedOtherYear</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darcy</dc:creator>
  <cp:lastModifiedBy>DARCY</cp:lastModifiedBy>
  <dcterms:created xsi:type="dcterms:W3CDTF">2020-05-11T04:09:15Z</dcterms:created>
  <dcterms:modified xsi:type="dcterms:W3CDTF">2020-05-15T04:55:01Z</dcterms:modified>
</cp:coreProperties>
</file>